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Run Index" sheetId="2" r:id="rId2"/>
    <sheet name="Vehicle Inputs" sheetId="3" r:id="rId3"/>
    <sheet name="Road and Solver" sheetId="4" r:id="rId4"/>
    <sheet name="Bumps" sheetId="5" r:id="rId5"/>
    <sheet name="Outputs" sheetId="6" r:id="rId6"/>
    <sheet name="Compare" sheetId="7" r:id="rId7"/>
    <sheet name="Graph Gallery" sheetId="8" r:id="rId8"/>
    <sheet name="Field Guide" sheetId="9" r:id="rId9"/>
  </sheets>
  <definedNames>
    <definedName name="_xlnm._FilterDatabase" localSheetId="8" hidden="1">'Field Guide'!$A$5:$C$89</definedName>
    <definedName name="_xlnm.Print_Area" localSheetId="0">'Start Here'!$B$2:$H$60</definedName>
    <definedName name="_xlnm.Print_Titles" localSheetId="4">Bumps!$1:$5</definedName>
    <definedName name="_xlnm.Print_Titles" localSheetId="8">'Field Guide'!$1:$5</definedName>
    <definedName name="_xlnm.Print_Titles" localSheetId="5">Outputs!$1:$5</definedName>
    <definedName name="_xlnm.Print_Titles" localSheetId="3">'Road and Solver'!$1:$5</definedName>
    <definedName name="_xlnm.Print_Titles" localSheetId="1">'Run Index'!$1:$5</definedName>
    <definedName name="_xlnm.Print_Titles" localSheetId="2">'Vehicle Inputs'!$1:$5</definedName>
    <definedName name="RunIDs">'Run Index'!$A$6:$A$205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I5" authorId="0">
      <text>
        <r>
          <rPr>
            <sz val="8"/>
            <color indexed="81"/>
            <rFont val="Tahoma"/>
            <family val="2"/>
          </rPr>
          <t>Record the actual commit plus any uncommitted parameter changes. A commit alone does not capture edited inputs. All input sheets should preserve the exact values used.</t>
        </r>
      </text>
    </comment>
    <comment ref="M5" authorId="0">
      <text>
        <r>
          <rPr>
            <sz val="8"/>
            <color indexed="81"/>
            <rFont val="Tahoma"/>
            <family val="2"/>
          </rPr>
          <t>Save the MATLAB dashboard as a PNG/PDF, then enter its file path or URL. Relative paths are resolved from the workbook location. This workbook does not recreate time-history graphs from summary metrics.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B5" authorId="0">
      <text>
        <r>
          <rPr>
            <sz val="8"/>
            <color indexed="81"/>
            <rFont val="Tahoma"/>
            <family val="2"/>
          </rPr>
          <t>One side: half sprung mass/inertia and one wheel per end. Axle equivalent: full sprung mass/inertia and summed axle rates/damping. Verify all inputs use the same representation.</t>
        </r>
      </text>
    </comment>
    <comment ref="C5" authorId="0">
      <text>
        <r>
          <rPr>
            <sz val="8"/>
            <color indexed="81"/>
            <rFont val="Tahoma"/>
            <family val="2"/>
          </rPr>
          <t>Exclude unsprung masses. Include driver, fuel, and payload consistently.</t>
        </r>
      </text>
    </comment>
    <comment ref="F5" authorId="0">
      <text>
        <r>
          <rPr>
            <sz val="8"/>
            <color indexed="81"/>
            <rFont val="Tahoma"/>
            <family val="2"/>
          </rPr>
          <t>Pitch inertia of the sprung body about its CG. CG location does not determine inertia.</t>
        </r>
      </text>
    </comment>
    <comment ref="G5" authorId="0">
      <text>
        <r>
          <rPr>
            <sz val="8"/>
            <color indexed="81"/>
            <rFont val="Tahoma"/>
            <family val="2"/>
          </rPr>
          <t>Sprung-body CG, not uncorrected whole-car CG from scales.</t>
        </r>
      </text>
    </comment>
    <comment ref="H5" authorId="0">
      <text>
        <r>
          <rPr>
            <sz val="8"/>
            <color indexed="81"/>
            <rFont val="Tahoma"/>
            <family val="2"/>
          </rPr>
          <t>Sprung-body CG. a1+a2 is wheelbase.</t>
        </r>
      </text>
    </comment>
    <comment ref="I5" authorId="0">
      <text>
        <r>
          <rPr>
            <sz val="8"/>
            <color indexed="81"/>
            <rFont val="Tahoma"/>
            <family val="2"/>
          </rPr>
          <t>Enter WHEEL rate: k_wheel=k_spring*(spring compression/vertical wheel travel)^2. N/mm x 1000 = N/m.</t>
        </r>
      </text>
    </comment>
    <comment ref="J5" authorId="0">
      <text>
        <r>
          <rPr>
            <sz val="8"/>
            <color indexed="81"/>
            <rFont val="Tahoma"/>
            <family val="2"/>
          </rPr>
          <t>Enter WHEEL rate; use rear spring motion ratio, including installation geometry once.</t>
        </r>
      </text>
    </comment>
    <comment ref="K5" authorId="0">
      <text>
        <r>
          <rPr>
            <sz val="8"/>
            <color indexed="81"/>
            <rFont val="Tahoma"/>
            <family val="2"/>
          </rPr>
          <t>Wheel-equivalent viscous coefficient, not damping ratio or click setting. c_wheel=c_damper*(shaft travel/wheel travel)^2.</t>
        </r>
      </text>
    </comment>
    <comment ref="L5" authorId="0">
      <text>
        <r>
          <rPr>
            <sz val="8"/>
            <color indexed="81"/>
            <rFont val="Tahoma"/>
            <family val="2"/>
          </rPr>
          <t>Rear wheel-equivalent damping; compression/rebound behavior is simplified to one coefficient.</t>
        </r>
      </text>
    </comment>
    <comment ref="M5" authorId="0">
      <text>
        <r>
          <rPr>
            <sz val="8"/>
            <color indexed="81"/>
            <rFont val="Tahoma"/>
            <family val="2"/>
          </rPr>
          <t>Vertical tire stiffness; do not apply suspension motion ratio. 200000 N/m = 200 N/mm.</t>
        </r>
      </text>
    </comment>
    <comment ref="N5" authorId="0">
      <text>
        <r>
          <rPr>
            <sz val="8"/>
            <color indexed="81"/>
            <rFont val="Tahoma"/>
            <family val="2"/>
          </rPr>
          <t>Estimate or measure at representative pressure/load; no tire-lift-off physics is added.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F5" authorId="0">
      <text>
        <r>
          <rPr>
            <sz val="8"/>
            <color indexed="81"/>
            <rFont val="Tahoma"/>
            <family val="2"/>
          </rPr>
          <t>Read actual_simulation_dt from MATLAB. It can be slightly smaller than requested so the final time falls exactly on the grid.</t>
        </r>
      </text>
    </comment>
    <comment ref="H5" authorId="0">
      <text>
        <r>
          <rPr>
            <sz val="8"/>
            <color indexed="81"/>
            <rFont val="Tahoma"/>
            <family val="2"/>
          </rPr>
          <t>Read time(end) or results.time(end). Record actual duration: whole-run RMS depends on it.</t>
        </r>
      </text>
    </comment>
    <comment ref="L5" authorId="0">
      <text>
        <r>
          <rPr>
            <sz val="8"/>
            <color indexed="81"/>
            <rFont val="Tahoma"/>
            <family val="2"/>
          </rPr>
          <t>Paste the eight absolute tolerances in metric order. Mixed units; keep the list unchanged when comparing numerical checks.</t>
        </r>
      </text>
    </comment>
    <comment ref="R5" authorId="0">
      <text>
        <r>
          <rPr>
            <sz val="8"/>
            <color indexed="81"/>
            <rFont val="Tahoma"/>
            <family val="2"/>
          </rPr>
          <t>Display only. 0.1 means 10x slow motion. This must not change the engineering outputs.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E5" authorId="0">
      <text>
        <r>
          <rPr>
            <sz val="8"/>
            <color indexed="81"/>
            <rFont val="Tahoma"/>
            <family val="2"/>
          </rPr>
          <t>Gap is flat edge-to-edge distance to the NEXT bump. For 3 bumps, fill gaps after bumps 1 and 2; leave bump 3 gap blank. Single bump: leave blank.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I5" authorId="0">
      <text>
        <r>
          <rPr>
            <sz val="8"/>
            <color indexed="81"/>
            <rFont val="Tahoma"/>
            <family val="2"/>
          </rPr>
          <t>Copy RMS body acceleration (whole run). Keep duration/analysis window consistent: extra quiet settling time can lower RMS.</t>
        </r>
      </text>
    </comment>
    <comment ref="K5" authorId="0">
      <text>
        <r>
          <rPr>
            <sz val="8"/>
            <color indexed="81"/>
            <rFont val="Tahoma"/>
            <family val="2"/>
          </rPr>
          <t>Copy the MATLAB half-step check result. A numerical PASS can coexist with a contact violation or an unvalidated model.</t>
        </r>
      </text>
    </comment>
    <comment ref="L5" authorId="0">
      <text>
        <r>
          <rPr>
            <sz val="8"/>
            <color indexed="81"/>
            <rFont val="Tahoma"/>
            <family val="2"/>
          </rPr>
          <t>Optional; copy the warning time from MATLAB. Leave blank if not checked or no violation; use the contact screen to distinguish them.</t>
        </r>
      </text>
    </comment>
    <comment ref="M5" authorId="0">
      <text>
        <r>
          <rPr>
            <sz val="8"/>
            <color indexed="81"/>
            <rFont val="Tahoma"/>
            <family val="2"/>
          </rPr>
          <t>Only mark validated after a documented physical comparison with acceptance criteria and an operating range. Numerical checks do not establish this.</t>
        </r>
      </text>
    </comment>
  </commentList>
</comments>
</file>

<file path=xl/sharedStrings.xml><?xml version="1.0" encoding="utf-8"?>
<sst xmlns="http://schemas.openxmlformats.org/spreadsheetml/2006/main" count="1457" uniqueCount="499">
  <si>
    <t>ITERATION REGISTER</t>
  </si>
  <si>
    <t>One record per run. Blue = enter data; grey = calculated. IDs are preassigned across the input/output sheets; keep each ID with its data when sorting. A blank output is unknown, never a pass.</t>
  </si>
  <si>
    <t>Run ID</t>
  </si>
  <si>
    <t>Run name</t>
  </si>
  <si>
    <t>Date / time (with timezone)</t>
  </si>
  <si>
    <t>Owner</t>
  </si>
  <si>
    <t>Record type</t>
  </si>
  <si>
    <t>Parent / baseline ID</t>
  </si>
  <si>
    <t>What changed?</t>
  </si>
  <si>
    <t>Hypothesis / expected effect</t>
  </si>
  <si>
    <t>Code commit / version</t>
  </si>
  <si>
    <t>Driver / fuel / payload condition</t>
  </si>
  <si>
    <t>Parameter source / uncertainty</t>
  </si>
  <si>
    <t>Results folder path / URL</t>
  </si>
  <si>
    <t>Dashboard image path / URL</t>
  </si>
  <si>
    <t>MAT data / CSV path / URL</t>
  </si>
  <si>
    <t>Decision / next action</t>
  </si>
  <si>
    <t>Open folder</t>
  </si>
  <si>
    <t>Open graph</t>
  </si>
  <si>
    <t>RUN-001</t>
  </si>
  <si>
    <t>RUN-002</t>
  </si>
  <si>
    <t>RUN-003</t>
  </si>
  <si>
    <t>RUN-004</t>
  </si>
  <si>
    <t>RUN-005</t>
  </si>
  <si>
    <t>RUN-006</t>
  </si>
  <si>
    <t>RUN-007</t>
  </si>
  <si>
    <t>RUN-008</t>
  </si>
  <si>
    <t>RUN-009</t>
  </si>
  <si>
    <t>RUN-010</t>
  </si>
  <si>
    <t>RUN-011</t>
  </si>
  <si>
    <t>RUN-012</t>
  </si>
  <si>
    <t>RUN-013</t>
  </si>
  <si>
    <t>RUN-014</t>
  </si>
  <si>
    <t>RUN-015</t>
  </si>
  <si>
    <t>RUN-016</t>
  </si>
  <si>
    <t>RUN-017</t>
  </si>
  <si>
    <t>RUN-018</t>
  </si>
  <si>
    <t>RUN-019</t>
  </si>
  <si>
    <t>RUN-020</t>
  </si>
  <si>
    <t>RUN-021</t>
  </si>
  <si>
    <t>RUN-022</t>
  </si>
  <si>
    <t>RUN-023</t>
  </si>
  <si>
    <t>RUN-024</t>
  </si>
  <si>
    <t>RUN-025</t>
  </si>
  <si>
    <t>RUN-026</t>
  </si>
  <si>
    <t>RUN-027</t>
  </si>
  <si>
    <t>RUN-028</t>
  </si>
  <si>
    <t>RUN-029</t>
  </si>
  <si>
    <t>RUN-030</t>
  </si>
  <si>
    <t>RUN-031</t>
  </si>
  <si>
    <t>RUN-032</t>
  </si>
  <si>
    <t>RUN-033</t>
  </si>
  <si>
    <t>RUN-034</t>
  </si>
  <si>
    <t>RUN-035</t>
  </si>
  <si>
    <t>RUN-036</t>
  </si>
  <si>
    <t>RUN-037</t>
  </si>
  <si>
    <t>RUN-038</t>
  </si>
  <si>
    <t>RUN-039</t>
  </si>
  <si>
    <t>RUN-040</t>
  </si>
  <si>
    <t>RUN-041</t>
  </si>
  <si>
    <t>RUN-042</t>
  </si>
  <si>
    <t>RUN-043</t>
  </si>
  <si>
    <t>RUN-044</t>
  </si>
  <si>
    <t>RUN-045</t>
  </si>
  <si>
    <t>RUN-046</t>
  </si>
  <si>
    <t>RUN-047</t>
  </si>
  <si>
    <t>RUN-048</t>
  </si>
  <si>
    <t>RUN-049</t>
  </si>
  <si>
    <t>RUN-050</t>
  </si>
  <si>
    <t>RUN-051</t>
  </si>
  <si>
    <t>RUN-052</t>
  </si>
  <si>
    <t>RUN-053</t>
  </si>
  <si>
    <t>RUN-054</t>
  </si>
  <si>
    <t>RUN-055</t>
  </si>
  <si>
    <t>RUN-056</t>
  </si>
  <si>
    <t>RUN-057</t>
  </si>
  <si>
    <t>RUN-058</t>
  </si>
  <si>
    <t>RUN-059</t>
  </si>
  <si>
    <t>RUN-060</t>
  </si>
  <si>
    <t>RUN-061</t>
  </si>
  <si>
    <t>RUN-062</t>
  </si>
  <si>
    <t>RUN-063</t>
  </si>
  <si>
    <t>RUN-064</t>
  </si>
  <si>
    <t>RUN-065</t>
  </si>
  <si>
    <t>RUN-066</t>
  </si>
  <si>
    <t>RUN-067</t>
  </si>
  <si>
    <t>RUN-068</t>
  </si>
  <si>
    <t>RUN-069</t>
  </si>
  <si>
    <t>RUN-070</t>
  </si>
  <si>
    <t>RUN-071</t>
  </si>
  <si>
    <t>RUN-072</t>
  </si>
  <si>
    <t>RUN-073</t>
  </si>
  <si>
    <t>RUN-074</t>
  </si>
  <si>
    <t>RUN-075</t>
  </si>
  <si>
    <t>RUN-076</t>
  </si>
  <si>
    <t>RUN-077</t>
  </si>
  <si>
    <t>RUN-078</t>
  </si>
  <si>
    <t>RUN-079</t>
  </si>
  <si>
    <t>RUN-080</t>
  </si>
  <si>
    <t>RUN-081</t>
  </si>
  <si>
    <t>RUN-082</t>
  </si>
  <si>
    <t>RUN-083</t>
  </si>
  <si>
    <t>RUN-084</t>
  </si>
  <si>
    <t>RUN-085</t>
  </si>
  <si>
    <t>RUN-086</t>
  </si>
  <si>
    <t>RUN-087</t>
  </si>
  <si>
    <t>RUN-088</t>
  </si>
  <si>
    <t>RUN-089</t>
  </si>
  <si>
    <t>RUN-090</t>
  </si>
  <si>
    <t>RUN-091</t>
  </si>
  <si>
    <t>RUN-092</t>
  </si>
  <si>
    <t>RUN-093</t>
  </si>
  <si>
    <t>RUN-094</t>
  </si>
  <si>
    <t>RUN-095</t>
  </si>
  <si>
    <t>RUN-096</t>
  </si>
  <si>
    <t>RUN-097</t>
  </si>
  <si>
    <t>RUN-098</t>
  </si>
  <si>
    <t>RUN-099</t>
  </si>
  <si>
    <t>RUN-100</t>
  </si>
  <si>
    <t>RUN-101</t>
  </si>
  <si>
    <t>RUN-102</t>
  </si>
  <si>
    <t>RUN-103</t>
  </si>
  <si>
    <t>RUN-104</t>
  </si>
  <si>
    <t>RUN-105</t>
  </si>
  <si>
    <t>RUN-106</t>
  </si>
  <si>
    <t>RUN-107</t>
  </si>
  <si>
    <t>RUN-108</t>
  </si>
  <si>
    <t>RUN-109</t>
  </si>
  <si>
    <t>RUN-110</t>
  </si>
  <si>
    <t>RUN-111</t>
  </si>
  <si>
    <t>RUN-112</t>
  </si>
  <si>
    <t>RUN-113</t>
  </si>
  <si>
    <t>RUN-114</t>
  </si>
  <si>
    <t>RUN-115</t>
  </si>
  <si>
    <t>RUN-116</t>
  </si>
  <si>
    <t>RUN-117</t>
  </si>
  <si>
    <t>RUN-118</t>
  </si>
  <si>
    <t>RUN-119</t>
  </si>
  <si>
    <t>RUN-120</t>
  </si>
  <si>
    <t>RUN-121</t>
  </si>
  <si>
    <t>RUN-122</t>
  </si>
  <si>
    <t>RUN-123</t>
  </si>
  <si>
    <t>RUN-124</t>
  </si>
  <si>
    <t>RUN-125</t>
  </si>
  <si>
    <t>RUN-126</t>
  </si>
  <si>
    <t>RUN-127</t>
  </si>
  <si>
    <t>RUN-128</t>
  </si>
  <si>
    <t>RUN-129</t>
  </si>
  <si>
    <t>RUN-130</t>
  </si>
  <si>
    <t>RUN-131</t>
  </si>
  <si>
    <t>RUN-132</t>
  </si>
  <si>
    <t>RUN-133</t>
  </si>
  <si>
    <t>RUN-134</t>
  </si>
  <si>
    <t>RUN-135</t>
  </si>
  <si>
    <t>RUN-136</t>
  </si>
  <si>
    <t>RUN-137</t>
  </si>
  <si>
    <t>RUN-138</t>
  </si>
  <si>
    <t>RUN-139</t>
  </si>
  <si>
    <t>RUN-140</t>
  </si>
  <si>
    <t>RUN-141</t>
  </si>
  <si>
    <t>RUN-142</t>
  </si>
  <si>
    <t>RUN-143</t>
  </si>
  <si>
    <t>RUN-144</t>
  </si>
  <si>
    <t>RUN-145</t>
  </si>
  <si>
    <t>RUN-146</t>
  </si>
  <si>
    <t>RUN-147</t>
  </si>
  <si>
    <t>RUN-148</t>
  </si>
  <si>
    <t>RUN-149</t>
  </si>
  <si>
    <t>RUN-150</t>
  </si>
  <si>
    <t>RUN-151</t>
  </si>
  <si>
    <t>RUN-152</t>
  </si>
  <si>
    <t>RUN-153</t>
  </si>
  <si>
    <t>RUN-154</t>
  </si>
  <si>
    <t>RUN-155</t>
  </si>
  <si>
    <t>RUN-156</t>
  </si>
  <si>
    <t>RUN-157</t>
  </si>
  <si>
    <t>RUN-158</t>
  </si>
  <si>
    <t>RUN-159</t>
  </si>
  <si>
    <t>RUN-160</t>
  </si>
  <si>
    <t>RUN-161</t>
  </si>
  <si>
    <t>RUN-162</t>
  </si>
  <si>
    <t>RUN-163</t>
  </si>
  <si>
    <t>RUN-164</t>
  </si>
  <si>
    <t>RUN-165</t>
  </si>
  <si>
    <t>RUN-166</t>
  </si>
  <si>
    <t>RUN-167</t>
  </si>
  <si>
    <t>RUN-168</t>
  </si>
  <si>
    <t>RUN-169</t>
  </si>
  <si>
    <t>RUN-170</t>
  </si>
  <si>
    <t>RUN-171</t>
  </si>
  <si>
    <t>RUN-172</t>
  </si>
  <si>
    <t>RUN-173</t>
  </si>
  <si>
    <t>RUN-174</t>
  </si>
  <si>
    <t>RUN-175</t>
  </si>
  <si>
    <t>RUN-176</t>
  </si>
  <si>
    <t>RUN-177</t>
  </si>
  <si>
    <t>RUN-178</t>
  </si>
  <si>
    <t>RUN-179</t>
  </si>
  <si>
    <t>RUN-180</t>
  </si>
  <si>
    <t>RUN-181</t>
  </si>
  <si>
    <t>RUN-182</t>
  </si>
  <si>
    <t>RUN-183</t>
  </si>
  <si>
    <t>RUN-184</t>
  </si>
  <si>
    <t>RUN-185</t>
  </si>
  <si>
    <t>RUN-186</t>
  </si>
  <si>
    <t>RUN-187</t>
  </si>
  <si>
    <t>RUN-188</t>
  </si>
  <si>
    <t>RUN-189</t>
  </si>
  <si>
    <t>RUN-190</t>
  </si>
  <si>
    <t>RUN-191</t>
  </si>
  <si>
    <t>RUN-192</t>
  </si>
  <si>
    <t>RUN-193</t>
  </si>
  <si>
    <t>RUN-194</t>
  </si>
  <si>
    <t>RUN-195</t>
  </si>
  <si>
    <t>RUN-196</t>
  </si>
  <si>
    <t>RUN-197</t>
  </si>
  <si>
    <t>RUN-198</t>
  </si>
  <si>
    <t>RUN-199</t>
  </si>
  <si>
    <t>RUN-200</t>
  </si>
  <si>
    <t>Template: repository defaults</t>
  </si>
  <si>
    <t>Template / not run</t>
  </si>
  <si>
    <t>Starting input example only; run MATLAB before entering outputs.</t>
  </si>
  <si>
    <t>91a3718 (input baseline)</t>
  </si>
  <si>
    <t>VEHICLE INPUTS</t>
  </si>
  <si>
    <t>Use actual wheel-equivalent rates. One-side and axle-equivalent mass/property conventions must not be mixed. First row contains unvalidated repository examples; other rows are blank.</t>
  </si>
  <si>
    <t>Mass convention</t>
  </si>
  <si>
    <t>m: sprung mass [kg]</t>
  </si>
  <si>
    <t>m1: front unsprung [kg]</t>
  </si>
  <si>
    <t>m2: rear unsprung [kg]</t>
  </si>
  <si>
    <t>Iy: sprung pitch inertia [kg m^2]</t>
  </si>
  <si>
    <t>a1: CG to front [m]</t>
  </si>
  <si>
    <t>a2: CG to rear [m]</t>
  </si>
  <si>
    <t>k1: front WHEEL rate [N/m]</t>
  </si>
  <si>
    <t>k2: rear WHEEL rate [N/m]</t>
  </si>
  <si>
    <t>c1: front WHEEL damping [N s/m]</t>
  </si>
  <si>
    <t>c2: rear WHEEL damping [N s/m]</t>
  </si>
  <si>
    <t>kt1: front tire rate [N/m]</t>
  </si>
  <si>
    <t>kt2: rear tire rate [N/m]</t>
  </si>
  <si>
    <t>Front tire pressure [kPa]</t>
  </si>
  <si>
    <t>Rear tire pressure [kPa]</t>
  </si>
  <si>
    <t>Wheelbase [m]</t>
  </si>
  <si>
    <t>Static front load estimate [N]</t>
  </si>
  <si>
    <t>Static rear load estimate [N]</t>
  </si>
  <si>
    <t>Unconfirmed</t>
  </si>
  <si>
    <t>ROAD, SOLVER &amp; DISPLAY</t>
  </si>
  <si>
    <t>Enter every active bump in Bumps. Solver timing is independent of playback. Absolute tolerance order: body displacement, pitch, acceleration, front/rear travel, front/rear minimum loads, RMS acceleration.</t>
  </si>
  <si>
    <t>Speed [m/s]</t>
  </si>
  <si>
    <t>Bump shape</t>
  </si>
  <si>
    <t>Consecutive bumps?</t>
  </si>
  <si>
    <t>Requested simulation_dt [s]</t>
  </si>
  <si>
    <t>Actual simulation_dt [s]</t>
  </si>
  <si>
    <t>Requested minimum tF [s]</t>
  </si>
  <si>
    <t>Actual end time [s]</t>
  </si>
  <si>
    <t>post_bump_time [s]</t>
  </si>
  <si>
    <t>Convergence requested?</t>
  </si>
  <si>
    <t>Relative tolerance [fraction]</t>
  </si>
  <si>
    <t>Absolute tolerances [table order]</t>
  </si>
  <si>
    <t>Initial flat length [m]</t>
  </si>
  <si>
    <t>Initial road dx [m]</t>
  </si>
  <si>
    <t>Trailing flat length used [m]</t>
  </si>
  <si>
    <t>Trailing road dx [m]</t>
  </si>
  <si>
    <t>Bump count (from Bumps)</t>
  </si>
  <si>
    <t>Playback speed</t>
  </si>
  <si>
    <t>Video FPS</t>
  </si>
  <si>
    <t>Animation enabled?</t>
  </si>
  <si>
    <t>Video enabled?</t>
  </si>
  <si>
    <t>Video filename / path</t>
  </si>
  <si>
    <t>cosine</t>
  </si>
  <si>
    <t>no</t>
  </si>
  <si>
    <t>yes</t>
  </si>
  <si>
    <t>[1e-5 1e-5 0.01 1e-5 1e-5 1 1 0.01]</t>
  </si>
  <si>
    <t>half_car_model.mp4</t>
  </si>
  <si>
    <t>BUMP-BY-BUMP ROAD DEFINITION</t>
  </si>
  <si>
    <t>One row per active bump. Use consecutive numbers starting at 1. N bumps need N−1 gaps: leave the final gap blank. Zero means touching bumps; a blank internal gap is missing data. Same structure is used for a single bump.</t>
  </si>
  <si>
    <t>Bump number</t>
  </si>
  <si>
    <t>Height [m]</t>
  </si>
  <si>
    <t>Width along road [m]</t>
  </si>
  <si>
    <t>Flat gap AFTER bump [m]</t>
  </si>
  <si>
    <t>Profile / measurement notes</t>
  </si>
  <si>
    <t>Duplicate ID + number?</t>
  </si>
  <si>
    <t>OUTPUTS &amp; CONFIDENCE</t>
  </si>
  <si>
    <t>Paste the eight Value metrics from MATLAB using the SI units shown. Leave unknown values blank. Blue cells are manual records; grey cells convert units or screen contact. A convergence pass does not validate the physics.</t>
  </si>
  <si>
    <t>Peak abs body displacement [m]</t>
  </si>
  <si>
    <t>Peak abs pitch [rad]</t>
  </si>
  <si>
    <t>Peak abs body acceleration [m/s^2]</t>
  </si>
  <si>
    <t>Peak abs front travel [m]</t>
  </si>
  <si>
    <t>Peak abs rear travel [m]</t>
  </si>
  <si>
    <t>Minimum front tire load [N]</t>
  </si>
  <si>
    <t>Minimum rear tire load [N]</t>
  </si>
  <si>
    <t>RMS body acceleration [m/s^2]</t>
  </si>
  <si>
    <t>RMS interval / definition</t>
  </si>
  <si>
    <t>Convergence result</t>
  </si>
  <si>
    <t>First contact violation [s]</t>
  </si>
  <si>
    <t>Physical validation status</t>
  </si>
  <si>
    <t>Interpretation / trade-off</t>
  </si>
  <si>
    <t>Peak body displacement [mm]</t>
  </si>
  <si>
    <t>Peak pitch [deg]</t>
  </si>
  <si>
    <t>Peak front travel [mm]</t>
  </si>
  <si>
    <t>Peak rear travel [mm]</t>
  </si>
  <si>
    <t>Contact screen (calculated)</t>
  </si>
  <si>
    <t>Whole simulation: 0 to actual end time</t>
  </si>
  <si>
    <t>Not checked</t>
  </si>
  <si>
    <t>Not validated</t>
  </si>
  <si>
    <t>COMPARE TWO ITERATIONS</t>
  </si>
  <si>
    <t>Select Run A and Run B below. Differences are B minus A. Check loading, road, speed, duration, and validity before attributing a change to one parameter. Blank means unknown; it is not zero.</t>
  </si>
  <si>
    <t>Run A</t>
  </si>
  <si>
    <t>Run B</t>
  </si>
  <si>
    <t>Input / output</t>
  </si>
  <si>
    <t>Units</t>
  </si>
  <si>
    <t>Difference (B − A)</t>
  </si>
  <si>
    <t>How to interpret</t>
  </si>
  <si>
    <t>CONTEXT — make comparisons fair</t>
  </si>
  <si>
    <t>Template rows are not completed simulations.</t>
  </si>
  <si>
    <t>Simulation and physical test are different evidence.</t>
  </si>
  <si>
    <t>Change one variable for a controlled comparison.</t>
  </si>
  <si>
    <t>Code version</t>
  </si>
  <si>
    <t>Record edited inputs as well as the commit.</t>
  </si>
  <si>
    <t>Driver / fuel / payload</t>
  </si>
  <si>
    <t>Use a consistent loading condition.</t>
  </si>
  <si>
    <t>Parameter uncertainty</t>
  </si>
  <si>
    <t>Measured vs estimated affects confidence.</t>
  </si>
  <si>
    <t>VEHICLE INPUTS — wheel-equivalent suspension properties</t>
  </si>
  <si>
    <t>One-side vs axle-equivalent must be consistent.</t>
  </si>
  <si>
    <t>Sprung mass</t>
  </si>
  <si>
    <t>kg</t>
  </si>
  <si>
    <t>Excludes unsprung mass; includes the chosen driver/payload.</t>
  </si>
  <si>
    <t>Front unsprung mass</t>
  </si>
  <si>
    <t>Effective represented mass.</t>
  </si>
  <si>
    <t>Rear unsprung mass</t>
  </si>
  <si>
    <t>Sprung pitch inertia</t>
  </si>
  <si>
    <t>kg m^2</t>
  </si>
  <si>
    <t>Not determined from CG location.</t>
  </si>
  <si>
    <t>CG to front axle</t>
  </si>
  <si>
    <t>m</t>
  </si>
  <si>
    <t>Use sprung-body CG.</t>
  </si>
  <si>
    <t>CG to rear axle</t>
  </si>
  <si>
    <t>Front wheel rate</t>
  </si>
  <si>
    <t>N/m</t>
  </si>
  <si>
    <t>Coil-spring rate times spring motion ratio squared.</t>
  </si>
  <si>
    <t>Rear wheel rate</t>
  </si>
  <si>
    <t>Front wheel damping</t>
  </si>
  <si>
    <t>N s/m</t>
  </si>
  <si>
    <t>Damper coefficient times damper motion ratio squared.</t>
  </si>
  <si>
    <t>Rear wheel damping</t>
  </si>
  <si>
    <t>More damping is not automatically better.</t>
  </si>
  <si>
    <t>Front tire stiffness</t>
  </si>
  <si>
    <t>Pressure/load-dependent assumption.</t>
  </si>
  <si>
    <t>Rear tire stiffness</t>
  </si>
  <si>
    <t>Front tire pressure</t>
  </si>
  <si>
    <t>kPa</t>
  </si>
  <si>
    <t>Record the test condition.</t>
  </si>
  <si>
    <t>Rear tire pressure</t>
  </si>
  <si>
    <t>ROAD &amp; NUMERICAL SETTINGS — verify the same disturbance</t>
  </si>
  <si>
    <t>Vehicle speed</t>
  </si>
  <si>
    <t>m/s</t>
  </si>
  <si>
    <t>Changes crossing time and axle delay.</t>
  </si>
  <si>
    <t>Smooth cosine or original half ellipse.</t>
  </si>
  <si>
    <t>Consecutive bumps</t>
  </si>
  <si>
    <t>yes / no</t>
  </si>
  <si>
    <t>Inspect the Bumps sheet for per-bump dimensions.</t>
  </si>
  <si>
    <t>Bump count</t>
  </si>
  <si>
    <t>Number of rows with height and width supplied.</t>
  </si>
  <si>
    <t>Requested simulation step</t>
  </si>
  <si>
    <t>s</t>
  </si>
  <si>
    <t>Smaller time step should be checked for convergence.</t>
  </si>
  <si>
    <t>Actual simulation step</t>
  </si>
  <si>
    <t>Copy the actual MATLAB time spacing.</t>
  </si>
  <si>
    <t>Actual end time</t>
  </si>
  <si>
    <t>Duration affects whole-run RMS.</t>
  </si>
  <si>
    <t>Post-bump time</t>
  </si>
  <si>
    <t>Compare consistent settling intervals.</t>
  </si>
  <si>
    <t>Relative convergence tolerance</t>
  </si>
  <si>
    <t>fraction</t>
  </si>
  <si>
    <t>0.01 means 1%, not 0.01%.</t>
  </si>
  <si>
    <t>Absolute tolerances</t>
  </si>
  <si>
    <t>mixed</t>
  </si>
  <si>
    <t>Retain the metric order and units.</t>
  </si>
  <si>
    <t>Initial flat length</t>
  </si>
  <si>
    <t>Defines initial road geometry.</t>
  </si>
  <si>
    <t>Initial road resolution</t>
  </si>
  <si>
    <t>Spatial resolution is a separate convergence issue.</t>
  </si>
  <si>
    <t>Trailing flat length</t>
  </si>
  <si>
    <t>Record the actual extent used.</t>
  </si>
  <si>
    <t>Trailing road resolution</t>
  </si>
  <si>
    <t>Record the actual road sampling.</t>
  </si>
  <si>
    <t>ratio</t>
  </si>
  <si>
    <t>Rendering only; should not change engineering outputs.</t>
  </si>
  <si>
    <t>Video frame rate</t>
  </si>
  <si>
    <t>fps</t>
  </si>
  <si>
    <t>Rendering only.</t>
  </si>
  <si>
    <t>ENGINEERING OUTPUTS — compare magnitude and confidence together</t>
  </si>
  <si>
    <t>Peak body displacement</t>
  </si>
  <si>
    <t>mm</t>
  </si>
  <si>
    <t>Converted from the manually entered metre value.</t>
  </si>
  <si>
    <t>Peak pitch</t>
  </si>
  <si>
    <t>deg</t>
  </si>
  <si>
    <t>Converted from radians.</t>
  </si>
  <si>
    <t>Peak body acceleration</t>
  </si>
  <si>
    <t>m/s^2</t>
  </si>
  <si>
    <t>Magnitude of the dynamic acceleration at sprung CG.</t>
  </si>
  <si>
    <t>RMS body acceleration</t>
  </si>
  <si>
    <t>Only compare consistent duration / intervals.</t>
  </si>
  <si>
    <t>Peak front travel</t>
  </si>
  <si>
    <t>Absolute relative travel; check compression/extension in graph.</t>
  </si>
  <si>
    <t>Peak rear travel</t>
  </si>
  <si>
    <t>Compare with actual available travel, not total stroke alone.</t>
  </si>
  <si>
    <t>Minimum front tire load</t>
  </si>
  <si>
    <t>N</t>
  </si>
  <si>
    <t>Below zero violates continuous contact.</t>
  </si>
  <si>
    <t>Minimum rear tire load</t>
  </si>
  <si>
    <t>Positive predicted load is not proof of cornering grip.</t>
  </si>
  <si>
    <t>RMS interval definition</t>
  </si>
  <si>
    <t>Record duration / analysis window.</t>
  </si>
  <si>
    <t>Convergence</t>
  </si>
  <si>
    <t>Numerical agreement, not physical validation.</t>
  </si>
  <si>
    <t>Contact screen</t>
  </si>
  <si>
    <t>Incomplete input never becomes a pass.</t>
  </si>
  <si>
    <t>Physical validation</t>
  </si>
  <si>
    <t>Requires a stated operating range and test evidence.</t>
  </si>
  <si>
    <t>First contact violation</t>
  </si>
  <si>
    <t>Copy the warning time if present.</t>
  </si>
  <si>
    <t>Explain what improved and what became worse.</t>
  </si>
  <si>
    <t>Metric</t>
  </si>
  <si>
    <t>OPEN THE ORIGINAL GRAPHS — summary charts do not replace the time histories.</t>
  </si>
  <si>
    <t>Run A dashboard</t>
  </si>
  <si>
    <t>Run B dashboard</t>
  </si>
  <si>
    <t>READ FIRST: a low acceleration number is not sufficient to rank a design. Check tire contact, suspension travel, loading, road geometry, duration, convergence and parameter uncertainty. Use Run Index notes to explain the trade-off.</t>
  </si>
  <si>
    <t>HALF-CAR ITERATION TRACKER</t>
  </si>
  <si>
    <t>A lightweight, offline notebook for inputs, outputs, graphs and engineering decisions. No macros, accounts, server, or external workbook connections.</t>
  </si>
  <si>
    <t>1  Choose an ID</t>
  </si>
  <si>
    <t>Use RUN-001, RUN-002, etc. The same IDs are already present on all main sheets. RUN-001 contains input examples only: it is marked Template / not run, with no outputs. Change its record type only after a real run.</t>
  </si>
  <si>
    <t>2  Record the reason</t>
  </si>
  <si>
    <t>In Run Index enter the name, timestamp/timezone, parent ID, code version, exactly what changed, and the loading condition. Never overwrite a completed run to try a new setting.</t>
  </si>
  <si>
    <t>3  Fill the inputs</t>
  </si>
  <si>
    <t>Use Vehicle Inputs and Road and Solver. Blue cells accept values; grey cells calculate. Rates are wheel-equivalent and SI units are in every header. Record actual values, not only the intended values.</t>
  </si>
  <si>
    <t>4  Describe every bump</t>
  </si>
  <si>
    <t>Use Bumps: one row per active bump, numbered 1 through N. Enter height, width, and the flat gap after each bump except the last. Zero gaps mean touching bumps. Filter by Run ID to review the sequence.</t>
  </si>
  <si>
    <t>5  Run MATLAB</t>
  </si>
  <si>
    <t>This workbook is a manual log, not a simulation or automatic MATLAB importer. Run the model, then copy its eight Value metrics into Outputs using m and rad as shown. The workbook also displays mm and degrees.</t>
  </si>
  <si>
    <t>6  Record confidence</t>
  </si>
  <si>
    <t>Copy convergence status and contact warning time. Negative loads are highlighted. Unknown values stay blank; Not checked is not PASS. Whole-run RMS must use a recorded, consistent duration.</t>
  </si>
  <si>
    <t>7  Keep the evidence</t>
  </si>
  <si>
    <t>Save the dashboard image, MATLAB results/CSV, and optional video to a run folder. Enter their paths/URLs in Run Index. Keep paths relative to the workbook when sharing the folder, or use accessible shared URLs.</t>
  </si>
  <si>
    <t>8  Compare and interpret</t>
  </si>
  <si>
    <t>Select two IDs on Compare. Read the inputs and validity flags before judging the output differences. Save a conclusion and next action in Run Index. Original time-history graphs can be opened from the comparison.</t>
  </si>
  <si>
    <t>9  Share and extend</t>
  </si>
  <si>
    <t>The workbook has 200 prepared runs and 2000 bump rows. Sort entire Excel tables, not individual columns. Keep IDs attached to their records. Save a backup; this is a file, not multi-user database software.</t>
  </si>
  <si>
    <t>Important: parameter defaults are unvalidated examples. Estimated contact checks do not simulate lift-off. A numerical convergence PASS does not establish physical validation. Preserve the original graphs and data for every decision.</t>
  </si>
  <si>
    <t>Open Run Index</t>
  </si>
  <si>
    <t>Open Vehicle Inputs</t>
  </si>
  <si>
    <t>Open Road and Solver</t>
  </si>
  <si>
    <t>Open Bumps</t>
  </si>
  <si>
    <t>Open Outputs</t>
  </si>
  <si>
    <t>Open Compare</t>
  </si>
  <si>
    <t>Open Graph Gallery</t>
  </si>
  <si>
    <t>Open Field Guide</t>
  </si>
  <si>
    <t>GRAPH GALLERY / OPTIONAL SCREENSHOTS</t>
  </si>
  <si>
    <t>Paste dashboard screenshots here using Excel Insert → Pictures. Put the run ID, code version and conclusion beside each image. Images are manually managed; use Run Index paths to keep links for all runs. Duplicating this sheet creates more space.</t>
  </si>
  <si>
    <t>Run ID: __________   Code version: __________   What changed: ____________________</t>
  </si>
  <si>
    <t>INSERT DASHBOARD SCREENSHOT HERE</t>
  </si>
  <si>
    <t>Interpretation / trade-off: ___________________________________________________________</t>
  </si>
  <si>
    <t>FIELD GUIDE</t>
  </si>
  <si>
    <t>Header comments give input guidance. This sheet lists every field and its purpose; engineering definitions are also in the accompanying report.</t>
  </si>
  <si>
    <t>Sheet</t>
  </si>
  <si>
    <t>Field</t>
  </si>
  <si>
    <t>Guidance</t>
  </si>
  <si>
    <t>Run Index</t>
  </si>
  <si>
    <t>Stable identifier joining the sheets. Keep the ID with the complete row when sorting.</t>
  </si>
  <si>
    <t>Record enough context to reproduce the run and find its original evidence. Use text or a saved file path as indicated.</t>
  </si>
  <si>
    <t>Record the actual commit plus any uncommitted parameter changes. A commit alone does not capture edited inputs. All input sheets should preserve the exact values used.</t>
  </si>
  <si>
    <t>Save the MATLAB dashboard as a PNG/PDF, then enter its file path or URL. Relative paths are resolved from the workbook location. This workbook does not recreate time-history graphs from summary metrics.</t>
  </si>
  <si>
    <t>Vehicle Inputs</t>
  </si>
  <si>
    <t>One side: half sprung mass/inertia and one wheel per end. Axle equivalent: full sprung mass/inertia and summed axle rates/damping. Verify all inputs use the same representation.</t>
  </si>
  <si>
    <t>Exclude unsprung masses. Include driver, fuel, and payload consistently.</t>
  </si>
  <si>
    <t>Enter the actual property in the shown units, with a consistent mass/property convention. Grey fields are calculated estimates.</t>
  </si>
  <si>
    <t>Pitch inertia of the sprung body about its CG. CG location does not determine inertia.</t>
  </si>
  <si>
    <t>Sprung-body CG, not uncorrected whole-car CG from scales.</t>
  </si>
  <si>
    <t>Sprung-body CG. a1+a2 is wheelbase.</t>
  </si>
  <si>
    <t>Enter WHEEL rate: k_wheel=k_spring*(spring compression/vertical wheel travel)^2. N/mm x 1000 = N/m.</t>
  </si>
  <si>
    <t>Enter WHEEL rate; use rear spring motion ratio, including installation geometry once.</t>
  </si>
  <si>
    <t>Wheel-equivalent viscous coefficient, not damping ratio or click setting. c_wheel=c_damper*(shaft travel/wheel travel)^2.</t>
  </si>
  <si>
    <t>Rear wheel-equivalent damping; compression/rebound behavior is simplified to one coefficient.</t>
  </si>
  <si>
    <t>Vertical tire stiffness; do not apply suspension motion ratio. 200000 N/m = 200 N/mm.</t>
  </si>
  <si>
    <t>Estimate or measure at representative pressure/load; no tire-lift-off physics is added.</t>
  </si>
  <si>
    <t>Road and Solver</t>
  </si>
  <si>
    <t>Record the actual setting used by MATLAB. Grey fields are calculated. Consult the script comments and report for definitions.</t>
  </si>
  <si>
    <t>Read actual_simulation_dt from MATLAB. It can be slightly smaller than requested so the final time falls exactly on the grid.</t>
  </si>
  <si>
    <t>Read time(end) or results.time(end). Record actual duration: whole-run RMS depends on it.</t>
  </si>
  <si>
    <t>Paste the eight absolute tolerances in metric order. Mixed units; keep the list unchanged when comparing numerical checks.</t>
  </si>
  <si>
    <t>Display only. 0.1 means 10x slow motion. This must not change the engineering outputs.</t>
  </si>
  <si>
    <t>Bumps</t>
  </si>
  <si>
    <t>One row per active bump. Identify the run and bump order; dimensions are metres. Final gap is blank.</t>
  </si>
  <si>
    <t>Gap is flat edge-to-edge distance to the NEXT bump. For 3 bumps, fill gaps after bumps 1 and 2; leave bump 3 gap blank. Single bump: leave blank.</t>
  </si>
  <si>
    <t>Outputs</t>
  </si>
  <si>
    <t>Copy the matching Value from the MATLAB metrics table. Units are shown in the field name. Leave unmeasured/uncomputed outputs blank.</t>
  </si>
  <si>
    <t>Copy RMS body acceleration (whole run). Keep duration/analysis window consistent: extra quiet settling time can lower RMS.</t>
  </si>
  <si>
    <t>Copy the MATLAB half-step check result. A numerical PASS can coexist with a contact violation or an unvalidated model.</t>
  </si>
  <si>
    <t>Optional; copy the warning time from MATLAB. Leave blank if not checked or no violation; use the contact screen to distinguish them.</t>
  </si>
  <si>
    <t>Only mark validated after a documented physical comparison with acceptance criteria and an operating range. Numerical checks do not establish this.</t>
  </si>
</sst>
</file>

<file path=xl/styles.xml><?xml version="1.0" encoding="utf-8"?>
<styleSheet xmlns="http://schemas.openxmlformats.org/spreadsheetml/2006/main">
  <numFmts count="1">
    <numFmt numFmtId="164" formatCode="0.0000"/>
  </numFmts>
  <fonts count="12">
    <font>
      <sz val="11"/>
      <color theme="1"/>
      <name val="Calibri"/>
      <family val="2"/>
      <scheme val="minor"/>
    </font>
    <font>
      <b/>
      <sz val="23"/>
      <color rgb="FFFFFFFF"/>
      <name val="Calibri"/>
      <family val="2"/>
      <scheme val="minor"/>
    </font>
    <font>
      <sz val="11"/>
      <color rgb="FF647483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153348"/>
      <name val="Calibri"/>
      <family val="2"/>
      <scheme val="minor"/>
    </font>
    <font>
      <sz val="11"/>
      <color rgb="FF855800"/>
      <name val="Calibri"/>
      <family val="2"/>
      <scheme val="minor"/>
    </font>
    <font>
      <u/>
      <sz val="11"/>
      <color rgb="FF1764A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53348"/>
      <name val="Calibri"/>
      <family val="2"/>
      <scheme val="minor"/>
    </font>
    <font>
      <sz val="11"/>
      <color rgb="FF1764A0"/>
      <name val="Calibri"/>
      <family val="2"/>
      <scheme val="minor"/>
    </font>
    <font>
      <sz val="11"/>
      <color rgb="FF34495E"/>
      <name val="Calibri"/>
      <family val="2"/>
      <scheme val="minor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153348"/>
        <bgColor indexed="64"/>
      </patternFill>
    </fill>
    <fill>
      <patternFill patternType="solid">
        <fgColor rgb="FFFFF0CE"/>
        <bgColor indexed="64"/>
      </patternFill>
    </fill>
    <fill>
      <patternFill patternType="solid">
        <fgColor rgb="FFEFF1F3"/>
        <bgColor indexed="64"/>
      </patternFill>
    </fill>
    <fill>
      <patternFill patternType="solid">
        <fgColor rgb="FF007F7A"/>
        <bgColor indexed="64"/>
      </patternFill>
    </fill>
    <fill>
      <patternFill patternType="solid">
        <fgColor rgb="FFEAF4F6"/>
        <bgColor indexed="64"/>
      </patternFill>
    </fill>
    <fill>
      <patternFill patternType="solid">
        <fgColor rgb="FFF0F7FF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0" xfId="0" applyFont="1" applyFill="1"/>
    <xf numFmtId="0" fontId="4" fillId="0" borderId="0" xfId="0" applyFont="1" applyAlignment="1">
      <alignment vertical="top" wrapText="1"/>
    </xf>
    <xf numFmtId="0" fontId="5" fillId="3" borderId="0" xfId="0" applyFont="1" applyFill="1"/>
    <xf numFmtId="0" fontId="6" fillId="4" borderId="0" xfId="0" applyFont="1" applyFill="1"/>
    <xf numFmtId="0" fontId="7" fillId="5" borderId="1" xfId="0" applyFont="1" applyFill="1" applyBorder="1" applyAlignment="1">
      <alignment vertical="center" wrapText="1"/>
    </xf>
    <xf numFmtId="0" fontId="8" fillId="6" borderId="0" xfId="0" applyFont="1" applyFill="1"/>
    <xf numFmtId="0" fontId="9" fillId="7" borderId="0" xfId="0" applyFont="1" applyFill="1" applyAlignment="1">
      <alignment vertical="top" wrapText="1"/>
    </xf>
    <xf numFmtId="164" fontId="9" fillId="7" borderId="0" xfId="0" applyNumberFormat="1" applyFont="1" applyFill="1" applyAlignment="1">
      <alignment vertical="top"/>
    </xf>
    <xf numFmtId="164" fontId="10" fillId="4" borderId="0" xfId="0" applyNumberFormat="1" applyFont="1" applyFill="1" applyAlignment="1">
      <alignment wrapText="1"/>
    </xf>
    <xf numFmtId="1" fontId="9" fillId="7" borderId="0" xfId="0" applyNumberFormat="1" applyFont="1" applyFill="1"/>
    <xf numFmtId="0" fontId="8" fillId="0" borderId="0" xfId="0" applyFont="1" applyAlignment="1">
      <alignment vertical="top" wrapText="1"/>
    </xf>
    <xf numFmtId="0" fontId="2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A12622"/>
      </font>
      <fill>
        <patternFill>
          <bgColor rgb="FFFCE0DE"/>
        </patternFill>
      </fill>
    </dxf>
    <dxf>
      <font>
        <color rgb="FF15633E"/>
      </font>
      <fill>
        <patternFill>
          <bgColor rgb="FFDDF1E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Body acceleration comparison [m/s²]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Run A</c:v>
          </c:tx>
          <c:spPr>
            <a:solidFill>
              <a:srgbClr val="007F7A"/>
            </a:solidFill>
            <a:ln>
              <a:noFill/>
            </a:ln>
          </c:spPr>
          <c:cat>
            <c:strRef>
              <c:f>Compare!$H$82:$H$83</c:f>
              <c:strCache>
                <c:ptCount val="2"/>
                <c:pt idx="0">
                  <c:v>Peak body acceleration</c:v>
                </c:pt>
                <c:pt idx="1">
                  <c:v>RMS body acceleration</c:v>
                </c:pt>
              </c:strCache>
            </c:strRef>
          </c:cat>
          <c:val>
            <c:numRef>
              <c:f>Compare!$I$82:$I$83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Run B</c:v>
          </c:tx>
          <c:spPr>
            <a:solidFill>
              <a:srgbClr val="E69B35"/>
            </a:solidFill>
            <a:ln>
              <a:noFill/>
            </a:ln>
          </c:spPr>
          <c:cat>
            <c:strRef>
              <c:f>Compare!$H$82:$H$83</c:f>
              <c:strCache>
                <c:ptCount val="2"/>
                <c:pt idx="0">
                  <c:v>Peak body acceleration</c:v>
                </c:pt>
                <c:pt idx="1">
                  <c:v>RMS body acceleration</c:v>
                </c:pt>
              </c:strCache>
            </c:strRef>
          </c:cat>
          <c:val>
            <c:numRef>
              <c:f>Compare!$J$82:$J$83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Peak suspension travel comparison [mm]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Run A</c:v>
          </c:tx>
          <c:spPr>
            <a:solidFill>
              <a:srgbClr val="007F7A"/>
            </a:solidFill>
            <a:ln>
              <a:noFill/>
            </a:ln>
          </c:spPr>
          <c:cat>
            <c:strRef>
              <c:f>Compare!$H$87:$H$88</c:f>
              <c:strCache>
                <c:ptCount val="2"/>
                <c:pt idx="0">
                  <c:v>Peak front travel</c:v>
                </c:pt>
                <c:pt idx="1">
                  <c:v>Peak rear travel</c:v>
                </c:pt>
              </c:strCache>
            </c:strRef>
          </c:cat>
          <c:val>
            <c:numRef>
              <c:f>Compare!$I$87:$I$88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Run B</c:v>
          </c:tx>
          <c:spPr>
            <a:solidFill>
              <a:srgbClr val="E69B35"/>
            </a:solidFill>
            <a:ln>
              <a:noFill/>
            </a:ln>
          </c:spPr>
          <c:cat>
            <c:strRef>
              <c:f>Compare!$H$87:$H$88</c:f>
              <c:strCache>
                <c:ptCount val="2"/>
                <c:pt idx="0">
                  <c:v>Peak front travel</c:v>
                </c:pt>
                <c:pt idx="1">
                  <c:v>Peak rear travel</c:v>
                </c:pt>
              </c:strCache>
            </c:strRef>
          </c:cat>
          <c:val>
            <c:numRef>
              <c:f>Compare!$J$87:$J$88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12</xdr:col>
      <xdr:colOff>238125</xdr:colOff>
      <xdr:row>13</xdr:row>
      <xdr:rowOff>361950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12</xdr:col>
      <xdr:colOff>238125</xdr:colOff>
      <xdr:row>31</xdr:row>
      <xdr:rowOff>361950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unRegister" displayName="RunRegister" ref="A5:Q205" totalsRowShown="0">
  <autoFilter ref="A5:Q205"/>
  <tableColumns count="17">
    <tableColumn id="1" name="Run ID"/>
    <tableColumn id="2" name="Run name"/>
    <tableColumn id="3" name="Date / time (with timezone)"/>
    <tableColumn id="4" name="Owner"/>
    <tableColumn id="5" name="Record type"/>
    <tableColumn id="6" name="Parent / baseline ID"/>
    <tableColumn id="7" name="What changed?"/>
    <tableColumn id="8" name="Hypothesis / expected effect"/>
    <tableColumn id="9" name="Code commit / version"/>
    <tableColumn id="10" name="Driver / fuel / payload condition"/>
    <tableColumn id="11" name="Parameter source / uncertainty"/>
    <tableColumn id="12" name="Results folder path / URL"/>
    <tableColumn id="13" name="Dashboard image path / URL"/>
    <tableColumn id="14" name="MAT data / CSV path / URL"/>
    <tableColumn id="15" name="Decision / next action"/>
    <tableColumn id="16" name="Open folder"/>
    <tableColumn id="17" name="Open grap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ehicleData" displayName="VehicleData" ref="A5:S205" totalsRowShown="0">
  <autoFilter ref="A5:S205"/>
  <tableColumns count="19">
    <tableColumn id="1" name="Run ID"/>
    <tableColumn id="2" name="Mass convention"/>
    <tableColumn id="3" name="m: sprung mass [kg]"/>
    <tableColumn id="4" name="m1: front unsprung [kg]"/>
    <tableColumn id="5" name="m2: rear unsprung [kg]"/>
    <tableColumn id="6" name="Iy: sprung pitch inertia [kg m^2]"/>
    <tableColumn id="7" name="a1: CG to front [m]"/>
    <tableColumn id="8" name="a2: CG to rear [m]"/>
    <tableColumn id="9" name="k1: front WHEEL rate [N/m]"/>
    <tableColumn id="10" name="k2: rear WHEEL rate [N/m]"/>
    <tableColumn id="11" name="c1: front WHEEL damping [N s/m]"/>
    <tableColumn id="12" name="c2: rear WHEEL damping [N s/m]"/>
    <tableColumn id="13" name="kt1: front tire rate [N/m]"/>
    <tableColumn id="14" name="kt2: rear tire rate [N/m]"/>
    <tableColumn id="15" name="Front tire pressure [kPa]"/>
    <tableColumn id="16" name="Rear tire pressure [kPa]"/>
    <tableColumn id="17" name="Wheelbase [m]"/>
    <tableColumn id="18" name="Static front load estimate [N]"/>
    <tableColumn id="19" name="Static rear load estimate [N]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oadSolverData" displayName="RoadSolverData" ref="A5:V205" totalsRowShown="0">
  <autoFilter ref="A5:V205"/>
  <tableColumns count="22">
    <tableColumn id="1" name="Run ID"/>
    <tableColumn id="2" name="Speed [m/s]"/>
    <tableColumn id="3" name="Bump shape"/>
    <tableColumn id="4" name="Consecutive bumps?"/>
    <tableColumn id="5" name="Requested simulation_dt [s]"/>
    <tableColumn id="6" name="Actual simulation_dt [s]"/>
    <tableColumn id="7" name="Requested minimum tF [s]"/>
    <tableColumn id="8" name="Actual end time [s]"/>
    <tableColumn id="9" name="post_bump_time [s]"/>
    <tableColumn id="10" name="Convergence requested?"/>
    <tableColumn id="11" name="Relative tolerance [fraction]"/>
    <tableColumn id="12" name="Absolute tolerances [table order]"/>
    <tableColumn id="13" name="Initial flat length [m]"/>
    <tableColumn id="14" name="Initial road dx [m]"/>
    <tableColumn id="15" name="Trailing flat length used [m]"/>
    <tableColumn id="16" name="Trailing road dx [m]"/>
    <tableColumn id="17" name="Bump count (from Bumps)"/>
    <tableColumn id="18" name="Playback speed"/>
    <tableColumn id="19" name="Video FPS"/>
    <tableColumn id="20" name="Animation enabled?"/>
    <tableColumn id="21" name="Video enabled?"/>
    <tableColumn id="22" name="Video filename / pat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BumpData" displayName="BumpData" ref="A5:G2005" totalsRowShown="0">
  <autoFilter ref="A5:G2005"/>
  <tableColumns count="7">
    <tableColumn id="1" name="Run ID"/>
    <tableColumn id="2" name="Bump number"/>
    <tableColumn id="3" name="Height [m]"/>
    <tableColumn id="4" name="Width along road [m]"/>
    <tableColumn id="5" name="Flat gap AFTER bump [m]"/>
    <tableColumn id="6" name="Profile / measurement notes"/>
    <tableColumn id="7" name="Duplicate ID + number?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OutputData" displayName="OutputData" ref="A5:S205" totalsRowShown="0">
  <autoFilter ref="A5:S205"/>
  <tableColumns count="19">
    <tableColumn id="1" name="Run ID"/>
    <tableColumn id="2" name="Peak abs body displacement [m]"/>
    <tableColumn id="3" name="Peak abs pitch [rad]"/>
    <tableColumn id="4" name="Peak abs body acceleration [m/s^2]"/>
    <tableColumn id="5" name="Peak abs front travel [m]"/>
    <tableColumn id="6" name="Peak abs rear travel [m]"/>
    <tableColumn id="7" name="Minimum front tire load [N]"/>
    <tableColumn id="8" name="Minimum rear tire load [N]"/>
    <tableColumn id="9" name="RMS body acceleration [m/s^2]"/>
    <tableColumn id="10" name="RMS interval / definition"/>
    <tableColumn id="11" name="Convergence result"/>
    <tableColumn id="12" name="First contact violation [s]"/>
    <tableColumn id="13" name="Physical validation status"/>
    <tableColumn id="14" name="Interpretation / trade-off"/>
    <tableColumn id="15" name="Peak body displacement [mm]"/>
    <tableColumn id="16" name="Peak pitch [deg]"/>
    <tableColumn id="17" name="Peak front travel [mm]"/>
    <tableColumn id="18" name="Peak rear travel [mm]"/>
    <tableColumn id="19" name="Contact screen (calculate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table" Target="../tables/table1.xml"/><Relationship Id="rId3" Type="http://schemas.openxmlformats.org/officeDocument/2006/relationships/comments" Target="../comments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table" Target="../tables/table2.xml"/><Relationship Id="rId3" Type="http://schemas.openxmlformats.org/officeDocument/2006/relationships/comments" Target="../comments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table" Target="../tables/table3.xml"/><Relationship Id="rId3" Type="http://schemas.openxmlformats.org/officeDocument/2006/relationships/comments" Target="../comments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table" Target="../tables/table4.xml"/><Relationship Id="rId3" Type="http://schemas.openxmlformats.org/officeDocument/2006/relationships/comments" Target="../comments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table" Target="../tables/table5.xml"/><Relationship Id="rId3" Type="http://schemas.openxmlformats.org/officeDocument/2006/relationships/comments" Target="../comments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7F7A"/>
    <pageSetUpPr fitToPage="1"/>
  </sheetPr>
  <dimension ref="B2:H59"/>
  <sheetViews>
    <sheetView showGridLines="0" tabSelected="1" workbookViewId="0"/>
  </sheetViews>
  <sheetFormatPr defaultRowHeight="15"/>
  <cols>
    <col min="1" max="1" width="4.7109375" customWidth="1"/>
    <col min="2" max="2" width="31.7109375" customWidth="1"/>
    <col min="3" max="8" width="14.7109375" customWidth="1"/>
  </cols>
  <sheetData>
    <row r="2" spans="2:8">
      <c r="B2" s="1" t="s">
        <v>427</v>
      </c>
      <c r="C2" s="1"/>
      <c r="D2" s="1"/>
      <c r="E2" s="1"/>
      <c r="F2" s="1"/>
      <c r="G2" s="1"/>
      <c r="H2" s="1"/>
    </row>
    <row r="3" spans="2:8">
      <c r="B3" s="1"/>
      <c r="C3" s="1"/>
      <c r="D3" s="1"/>
      <c r="E3" s="1"/>
      <c r="F3" s="1"/>
      <c r="G3" s="1"/>
      <c r="H3" s="1"/>
    </row>
    <row r="5" spans="2:8">
      <c r="B5" s="2" t="s">
        <v>428</v>
      </c>
      <c r="C5" s="2"/>
      <c r="D5" s="2"/>
      <c r="E5" s="2"/>
      <c r="F5" s="2"/>
      <c r="G5" s="2"/>
      <c r="H5" s="2"/>
    </row>
    <row r="6" spans="2:8">
      <c r="B6" s="2"/>
      <c r="C6" s="2"/>
      <c r="D6" s="2"/>
      <c r="E6" s="2"/>
      <c r="F6" s="2"/>
      <c r="G6" s="2"/>
      <c r="H6" s="2"/>
    </row>
    <row r="9" spans="2:8">
      <c r="B9" s="3" t="s">
        <v>429</v>
      </c>
      <c r="C9" s="3"/>
      <c r="D9" s="3"/>
      <c r="E9" s="3"/>
      <c r="F9" s="3"/>
      <c r="G9" s="3"/>
      <c r="H9" s="3"/>
    </row>
    <row r="10" spans="2:8" ht="24" customHeight="1">
      <c r="B10" s="4" t="s">
        <v>430</v>
      </c>
      <c r="C10" s="4"/>
      <c r="D10" s="4"/>
      <c r="E10" s="4"/>
      <c r="F10" s="4"/>
      <c r="G10" s="4"/>
      <c r="H10" s="4"/>
    </row>
    <row r="11" spans="2:8">
      <c r="B11" s="4"/>
      <c r="C11" s="4"/>
      <c r="D11" s="4"/>
      <c r="E11" s="4"/>
      <c r="F11" s="4"/>
      <c r="G11" s="4"/>
      <c r="H11" s="4"/>
    </row>
    <row r="12" spans="2:8">
      <c r="B12" s="4"/>
      <c r="C12" s="4"/>
      <c r="D12" s="4"/>
      <c r="E12" s="4"/>
      <c r="F12" s="4"/>
      <c r="G12" s="4"/>
      <c r="H12" s="4"/>
    </row>
    <row r="13" spans="2:8">
      <c r="B13" s="3" t="s">
        <v>431</v>
      </c>
      <c r="C13" s="3"/>
      <c r="D13" s="3"/>
      <c r="E13" s="3"/>
      <c r="F13" s="3"/>
      <c r="G13" s="3"/>
      <c r="H13" s="3"/>
    </row>
    <row r="14" spans="2:8" ht="24" customHeight="1">
      <c r="B14" s="4" t="s">
        <v>432</v>
      </c>
      <c r="C14" s="4"/>
      <c r="D14" s="4"/>
      <c r="E14" s="4"/>
      <c r="F14" s="4"/>
      <c r="G14" s="4"/>
      <c r="H14" s="4"/>
    </row>
    <row r="15" spans="2:8">
      <c r="B15" s="4"/>
      <c r="C15" s="4"/>
      <c r="D15" s="4"/>
      <c r="E15" s="4"/>
      <c r="F15" s="4"/>
      <c r="G15" s="4"/>
      <c r="H15" s="4"/>
    </row>
    <row r="16" spans="2:8">
      <c r="B16" s="4"/>
      <c r="C16" s="4"/>
      <c r="D16" s="4"/>
      <c r="E16" s="4"/>
      <c r="F16" s="4"/>
      <c r="G16" s="4"/>
      <c r="H16" s="4"/>
    </row>
    <row r="17" spans="2:8">
      <c r="B17" s="3" t="s">
        <v>433</v>
      </c>
      <c r="C17" s="3"/>
      <c r="D17" s="3"/>
      <c r="E17" s="3"/>
      <c r="F17" s="3"/>
      <c r="G17" s="3"/>
      <c r="H17" s="3"/>
    </row>
    <row r="18" spans="2:8" ht="24" customHeight="1">
      <c r="B18" s="4" t="s">
        <v>434</v>
      </c>
      <c r="C18" s="4"/>
      <c r="D18" s="4"/>
      <c r="E18" s="4"/>
      <c r="F18" s="4"/>
      <c r="G18" s="4"/>
      <c r="H18" s="4"/>
    </row>
    <row r="19" spans="2:8">
      <c r="B19" s="4"/>
      <c r="C19" s="4"/>
      <c r="D19" s="4"/>
      <c r="E19" s="4"/>
      <c r="F19" s="4"/>
      <c r="G19" s="4"/>
      <c r="H19" s="4"/>
    </row>
    <row r="20" spans="2:8">
      <c r="B20" s="4"/>
      <c r="C20" s="4"/>
      <c r="D20" s="4"/>
      <c r="E20" s="4"/>
      <c r="F20" s="4"/>
      <c r="G20" s="4"/>
      <c r="H20" s="4"/>
    </row>
    <row r="21" spans="2:8">
      <c r="B21" s="3" t="s">
        <v>435</v>
      </c>
      <c r="C21" s="3"/>
      <c r="D21" s="3"/>
      <c r="E21" s="3"/>
      <c r="F21" s="3"/>
      <c r="G21" s="3"/>
      <c r="H21" s="3"/>
    </row>
    <row r="22" spans="2:8" ht="24" customHeight="1">
      <c r="B22" s="4" t="s">
        <v>436</v>
      </c>
      <c r="C22" s="4"/>
      <c r="D22" s="4"/>
      <c r="E22" s="4"/>
      <c r="F22" s="4"/>
      <c r="G22" s="4"/>
      <c r="H22" s="4"/>
    </row>
    <row r="23" spans="2:8">
      <c r="B23" s="4"/>
      <c r="C23" s="4"/>
      <c r="D23" s="4"/>
      <c r="E23" s="4"/>
      <c r="F23" s="4"/>
      <c r="G23" s="4"/>
      <c r="H23" s="4"/>
    </row>
    <row r="24" spans="2:8">
      <c r="B24" s="4"/>
      <c r="C24" s="4"/>
      <c r="D24" s="4"/>
      <c r="E24" s="4"/>
      <c r="F24" s="4"/>
      <c r="G24" s="4"/>
      <c r="H24" s="4"/>
    </row>
    <row r="25" spans="2:8">
      <c r="B25" s="3" t="s">
        <v>437</v>
      </c>
      <c r="C25" s="3"/>
      <c r="D25" s="3"/>
      <c r="E25" s="3"/>
      <c r="F25" s="3"/>
      <c r="G25" s="3"/>
      <c r="H25" s="3"/>
    </row>
    <row r="26" spans="2:8" ht="24" customHeight="1">
      <c r="B26" s="4" t="s">
        <v>438</v>
      </c>
      <c r="C26" s="4"/>
      <c r="D26" s="4"/>
      <c r="E26" s="4"/>
      <c r="F26" s="4"/>
      <c r="G26" s="4"/>
      <c r="H26" s="4"/>
    </row>
    <row r="27" spans="2:8">
      <c r="B27" s="4"/>
      <c r="C27" s="4"/>
      <c r="D27" s="4"/>
      <c r="E27" s="4"/>
      <c r="F27" s="4"/>
      <c r="G27" s="4"/>
      <c r="H27" s="4"/>
    </row>
    <row r="28" spans="2:8">
      <c r="B28" s="4"/>
      <c r="C28" s="4"/>
      <c r="D28" s="4"/>
      <c r="E28" s="4"/>
      <c r="F28" s="4"/>
      <c r="G28" s="4"/>
      <c r="H28" s="4"/>
    </row>
    <row r="29" spans="2:8">
      <c r="B29" s="3" t="s">
        <v>439</v>
      </c>
      <c r="C29" s="3"/>
      <c r="D29" s="3"/>
      <c r="E29" s="3"/>
      <c r="F29" s="3"/>
      <c r="G29" s="3"/>
      <c r="H29" s="3"/>
    </row>
    <row r="30" spans="2:8" ht="24" customHeight="1">
      <c r="B30" s="4" t="s">
        <v>440</v>
      </c>
      <c r="C30" s="4"/>
      <c r="D30" s="4"/>
      <c r="E30" s="4"/>
      <c r="F30" s="4"/>
      <c r="G30" s="4"/>
      <c r="H30" s="4"/>
    </row>
    <row r="31" spans="2:8">
      <c r="B31" s="4"/>
      <c r="C31" s="4"/>
      <c r="D31" s="4"/>
      <c r="E31" s="4"/>
      <c r="F31" s="4"/>
      <c r="G31" s="4"/>
      <c r="H31" s="4"/>
    </row>
    <row r="32" spans="2:8">
      <c r="B32" s="4"/>
      <c r="C32" s="4"/>
      <c r="D32" s="4"/>
      <c r="E32" s="4"/>
      <c r="F32" s="4"/>
      <c r="G32" s="4"/>
      <c r="H32" s="4"/>
    </row>
    <row r="33" spans="2:8">
      <c r="B33" s="3" t="s">
        <v>441</v>
      </c>
      <c r="C33" s="3"/>
      <c r="D33" s="3"/>
      <c r="E33" s="3"/>
      <c r="F33" s="3"/>
      <c r="G33" s="3"/>
      <c r="H33" s="3"/>
    </row>
    <row r="34" spans="2:8" ht="24" customHeight="1">
      <c r="B34" s="4" t="s">
        <v>442</v>
      </c>
      <c r="C34" s="4"/>
      <c r="D34" s="4"/>
      <c r="E34" s="4"/>
      <c r="F34" s="4"/>
      <c r="G34" s="4"/>
      <c r="H34" s="4"/>
    </row>
    <row r="35" spans="2:8">
      <c r="B35" s="4"/>
      <c r="C35" s="4"/>
      <c r="D35" s="4"/>
      <c r="E35" s="4"/>
      <c r="F35" s="4"/>
      <c r="G35" s="4"/>
      <c r="H35" s="4"/>
    </row>
    <row r="36" spans="2:8">
      <c r="B36" s="4"/>
      <c r="C36" s="4"/>
      <c r="D36" s="4"/>
      <c r="E36" s="4"/>
      <c r="F36" s="4"/>
      <c r="G36" s="4"/>
      <c r="H36" s="4"/>
    </row>
    <row r="37" spans="2:8">
      <c r="B37" s="3" t="s">
        <v>443</v>
      </c>
      <c r="C37" s="3"/>
      <c r="D37" s="3"/>
      <c r="E37" s="3"/>
      <c r="F37" s="3"/>
      <c r="G37" s="3"/>
      <c r="H37" s="3"/>
    </row>
    <row r="38" spans="2:8" ht="24" customHeight="1">
      <c r="B38" s="4" t="s">
        <v>444</v>
      </c>
      <c r="C38" s="4"/>
      <c r="D38" s="4"/>
      <c r="E38" s="4"/>
      <c r="F38" s="4"/>
      <c r="G38" s="4"/>
      <c r="H38" s="4"/>
    </row>
    <row r="39" spans="2:8">
      <c r="B39" s="4"/>
      <c r="C39" s="4"/>
      <c r="D39" s="4"/>
      <c r="E39" s="4"/>
      <c r="F39" s="4"/>
      <c r="G39" s="4"/>
      <c r="H39" s="4"/>
    </row>
    <row r="40" spans="2:8">
      <c r="B40" s="4"/>
      <c r="C40" s="4"/>
      <c r="D40" s="4"/>
      <c r="E40" s="4"/>
      <c r="F40" s="4"/>
      <c r="G40" s="4"/>
      <c r="H40" s="4"/>
    </row>
    <row r="41" spans="2:8">
      <c r="B41" s="3" t="s">
        <v>445</v>
      </c>
      <c r="C41" s="3"/>
      <c r="D41" s="3"/>
      <c r="E41" s="3"/>
      <c r="F41" s="3"/>
      <c r="G41" s="3"/>
      <c r="H41" s="3"/>
    </row>
    <row r="42" spans="2:8" ht="24" customHeight="1">
      <c r="B42" s="4" t="s">
        <v>446</v>
      </c>
      <c r="C42" s="4"/>
      <c r="D42" s="4"/>
      <c r="E42" s="4"/>
      <c r="F42" s="4"/>
      <c r="G42" s="4"/>
      <c r="H42" s="4"/>
    </row>
    <row r="43" spans="2:8">
      <c r="B43" s="4"/>
      <c r="C43" s="4"/>
      <c r="D43" s="4"/>
      <c r="E43" s="4"/>
      <c r="F43" s="4"/>
      <c r="G43" s="4"/>
      <c r="H43" s="4"/>
    </row>
    <row r="44" spans="2:8">
      <c r="B44" s="4"/>
      <c r="C44" s="4"/>
      <c r="D44" s="4"/>
      <c r="E44" s="4"/>
      <c r="F44" s="4"/>
      <c r="G44" s="4"/>
      <c r="H44" s="4"/>
    </row>
    <row r="47" spans="2:8">
      <c r="B47" s="5" t="s">
        <v>447</v>
      </c>
      <c r="C47" s="5"/>
      <c r="D47" s="5"/>
      <c r="E47" s="5"/>
      <c r="F47" s="5"/>
      <c r="G47" s="5"/>
      <c r="H47" s="5"/>
    </row>
    <row r="48" spans="2:8">
      <c r="B48" s="5"/>
      <c r="C48" s="5"/>
      <c r="D48" s="5"/>
      <c r="E48" s="5"/>
      <c r="F48" s="5"/>
      <c r="G48" s="5"/>
      <c r="H48" s="5"/>
    </row>
    <row r="49" spans="2:8">
      <c r="B49" s="5"/>
      <c r="C49" s="5"/>
      <c r="D49" s="5"/>
      <c r="E49" s="5"/>
      <c r="F49" s="5"/>
      <c r="G49" s="5"/>
      <c r="H49" s="5"/>
    </row>
    <row r="52" spans="2:8">
      <c r="B52" s="6" t="s">
        <v>448</v>
      </c>
    </row>
    <row r="53" spans="2:8">
      <c r="B53" s="6" t="s">
        <v>449</v>
      </c>
    </row>
    <row r="54" spans="2:8">
      <c r="B54" s="6" t="s">
        <v>450</v>
      </c>
    </row>
    <row r="55" spans="2:8">
      <c r="B55" s="6" t="s">
        <v>451</v>
      </c>
    </row>
    <row r="56" spans="2:8">
      <c r="B56" s="6" t="s">
        <v>452</v>
      </c>
    </row>
    <row r="57" spans="2:8">
      <c r="B57" s="6" t="s">
        <v>453</v>
      </c>
    </row>
    <row r="58" spans="2:8">
      <c r="B58" s="6" t="s">
        <v>454</v>
      </c>
    </row>
    <row r="59" spans="2:8">
      <c r="B59" s="6" t="s">
        <v>455</v>
      </c>
    </row>
  </sheetData>
  <mergeCells count="21">
    <mergeCell ref="B2:H3"/>
    <mergeCell ref="B5:H6"/>
    <mergeCell ref="B9:H9"/>
    <mergeCell ref="B10:H12"/>
    <mergeCell ref="B13:H13"/>
    <mergeCell ref="B14:H16"/>
    <mergeCell ref="B17:H17"/>
    <mergeCell ref="B18:H20"/>
    <mergeCell ref="B21:H21"/>
    <mergeCell ref="B22:H24"/>
    <mergeCell ref="B25:H25"/>
    <mergeCell ref="B26:H28"/>
    <mergeCell ref="B29:H29"/>
    <mergeCell ref="B30:H32"/>
    <mergeCell ref="B33:H33"/>
    <mergeCell ref="B34:H36"/>
    <mergeCell ref="B37:H37"/>
    <mergeCell ref="B38:H40"/>
    <mergeCell ref="B41:H41"/>
    <mergeCell ref="B42:H44"/>
    <mergeCell ref="B47:H49"/>
  </mergeCells>
  <hyperlinks>
    <hyperlink ref="B52" location="'Run Index'!A1" display="Open Run Index"/>
    <hyperlink ref="B53" location="'Vehicle Inputs'!A1" display="Open Vehicle Inputs"/>
    <hyperlink ref="B54" location="'Road and Solver'!A1" display="Open Road and Solver"/>
    <hyperlink ref="B55" location="'Bumps'!A1" display="Open Bumps"/>
    <hyperlink ref="B56" location="'Outputs'!A1" display="Open Outputs"/>
    <hyperlink ref="B57" location="'Compare'!A1" display="Open Compare"/>
    <hyperlink ref="B58" location="'Graph Gallery'!A1" display="Open Graph Gallery"/>
    <hyperlink ref="B59" location="'Field Guide'!A1" display="Open Field Guide"/>
  </hyperlinks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F7A"/>
    <pageSetUpPr fitToPage="1"/>
  </sheetPr>
  <dimension ref="A1:Q205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5.7109375" customWidth="1"/>
    <col min="2" max="2" width="30.7109375" customWidth="1"/>
    <col min="3" max="3" width="27.7109375" customWidth="1"/>
    <col min="4" max="4" width="20.7109375" customWidth="1"/>
    <col min="5" max="5" width="23.7109375" customWidth="1"/>
    <col min="6" max="6" width="19.7109375" customWidth="1"/>
    <col min="7" max="7" width="35.7109375" customWidth="1"/>
    <col min="8" max="8" width="38.7109375" customWidth="1"/>
    <col min="9" max="9" width="23.7109375" customWidth="1"/>
    <col min="10" max="10" width="35.7109375" customWidth="1"/>
    <col min="11" max="11" width="38.7109375" customWidth="1"/>
    <col min="12" max="15" width="42.7109375" customWidth="1"/>
    <col min="16" max="17" width="18.7109375" customWidth="1"/>
  </cols>
  <sheetData>
    <row r="1" spans="1:17" ht="37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2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 ht="48" customHeight="1">
      <c r="A5" s="7" t="s">
        <v>2</v>
      </c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7" t="s">
        <v>12</v>
      </c>
      <c r="L5" s="7" t="s">
        <v>13</v>
      </c>
      <c r="M5" s="7" t="s">
        <v>14</v>
      </c>
      <c r="N5" s="7" t="s">
        <v>15</v>
      </c>
      <c r="O5" s="7" t="s">
        <v>16</v>
      </c>
      <c r="P5" s="7" t="s">
        <v>17</v>
      </c>
      <c r="Q5" s="7" t="s">
        <v>18</v>
      </c>
    </row>
    <row r="6" spans="1:17" ht="32" customHeight="1">
      <c r="A6" s="8" t="s">
        <v>19</v>
      </c>
      <c r="B6" s="9" t="s">
        <v>219</v>
      </c>
      <c r="C6" s="9"/>
      <c r="D6" s="9"/>
      <c r="E6" s="9" t="s">
        <v>220</v>
      </c>
      <c r="F6" s="9"/>
      <c r="G6" s="9" t="s">
        <v>221</v>
      </c>
      <c r="H6" s="9"/>
      <c r="I6" s="9" t="s">
        <v>222</v>
      </c>
      <c r="J6" s="9"/>
      <c r="K6" s="9"/>
      <c r="L6" s="9"/>
      <c r="M6" s="9"/>
      <c r="N6" s="9"/>
      <c r="O6" s="9"/>
      <c r="P6" s="6">
        <f>IF(L6="","",HYPERLINK(L6,"Open folder"))</f>
        <v/>
      </c>
      <c r="Q6" s="6">
        <f>IF(M6="","",HYPERLINK(M6,"Open dashboard"))</f>
        <v/>
      </c>
    </row>
    <row r="7" spans="1:17" ht="32" customHeight="1">
      <c r="A7" s="8" t="s">
        <v>20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6">
        <f>IF(L7="","",HYPERLINK(L7,"Open folder"))</f>
        <v/>
      </c>
      <c r="Q7" s="6">
        <f>IF(M7="","",HYPERLINK(M7,"Open dashboard"))</f>
        <v/>
      </c>
    </row>
    <row r="8" spans="1:17" ht="32" customHeight="1">
      <c r="A8" s="8" t="s">
        <v>21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6">
        <f>IF(L8="","",HYPERLINK(L8,"Open folder"))</f>
        <v/>
      </c>
      <c r="Q8" s="6">
        <f>IF(M8="","",HYPERLINK(M8,"Open dashboard"))</f>
        <v/>
      </c>
    </row>
    <row r="9" spans="1:17" ht="32" customHeight="1">
      <c r="A9" s="8" t="s">
        <v>22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6">
        <f>IF(L9="","",HYPERLINK(L9,"Open folder"))</f>
        <v/>
      </c>
      <c r="Q9" s="6">
        <f>IF(M9="","",HYPERLINK(M9,"Open dashboard"))</f>
        <v/>
      </c>
    </row>
    <row r="10" spans="1:17" ht="32" customHeight="1">
      <c r="A10" s="8" t="s">
        <v>23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6">
        <f>IF(L10="","",HYPERLINK(L10,"Open folder"))</f>
        <v/>
      </c>
      <c r="Q10" s="6">
        <f>IF(M10="","",HYPERLINK(M10,"Open dashboard"))</f>
        <v/>
      </c>
    </row>
    <row r="11" spans="1:17" ht="32" customHeight="1">
      <c r="A11" s="8" t="s">
        <v>24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6">
        <f>IF(L11="","",HYPERLINK(L11,"Open folder"))</f>
        <v/>
      </c>
      <c r="Q11" s="6">
        <f>IF(M11="","",HYPERLINK(M11,"Open dashboard"))</f>
        <v/>
      </c>
    </row>
    <row r="12" spans="1:17" ht="32" customHeight="1">
      <c r="A12" s="8" t="s">
        <v>25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6">
        <f>IF(L12="","",HYPERLINK(L12,"Open folder"))</f>
        <v/>
      </c>
      <c r="Q12" s="6">
        <f>IF(M12="","",HYPERLINK(M12,"Open dashboard"))</f>
        <v/>
      </c>
    </row>
    <row r="13" spans="1:17" ht="32" customHeight="1">
      <c r="A13" s="8" t="s">
        <v>26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6">
        <f>IF(L13="","",HYPERLINK(L13,"Open folder"))</f>
        <v/>
      </c>
      <c r="Q13" s="6">
        <f>IF(M13="","",HYPERLINK(M13,"Open dashboard"))</f>
        <v/>
      </c>
    </row>
    <row r="14" spans="1:17" ht="32" customHeight="1">
      <c r="A14" s="8" t="s">
        <v>27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6">
        <f>IF(L14="","",HYPERLINK(L14,"Open folder"))</f>
        <v/>
      </c>
      <c r="Q14" s="6">
        <f>IF(M14="","",HYPERLINK(M14,"Open dashboard"))</f>
        <v/>
      </c>
    </row>
    <row r="15" spans="1:17" ht="32" customHeight="1">
      <c r="A15" s="8" t="s">
        <v>28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6">
        <f>IF(L15="","",HYPERLINK(L15,"Open folder"))</f>
        <v/>
      </c>
      <c r="Q15" s="6">
        <f>IF(M15="","",HYPERLINK(M15,"Open dashboard"))</f>
        <v/>
      </c>
    </row>
    <row r="16" spans="1:17" ht="32" customHeight="1">
      <c r="A16" s="8" t="s">
        <v>29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6">
        <f>IF(L16="","",HYPERLINK(L16,"Open folder"))</f>
        <v/>
      </c>
      <c r="Q16" s="6">
        <f>IF(M16="","",HYPERLINK(M16,"Open dashboard"))</f>
        <v/>
      </c>
    </row>
    <row r="17" spans="1:17" ht="32" customHeight="1">
      <c r="A17" s="8" t="s">
        <v>30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6">
        <f>IF(L17="","",HYPERLINK(L17,"Open folder"))</f>
        <v/>
      </c>
      <c r="Q17" s="6">
        <f>IF(M17="","",HYPERLINK(M17,"Open dashboard"))</f>
        <v/>
      </c>
    </row>
    <row r="18" spans="1:17" ht="32" customHeight="1">
      <c r="A18" s="8" t="s">
        <v>31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6">
        <f>IF(L18="","",HYPERLINK(L18,"Open folder"))</f>
        <v/>
      </c>
      <c r="Q18" s="6">
        <f>IF(M18="","",HYPERLINK(M18,"Open dashboard"))</f>
        <v/>
      </c>
    </row>
    <row r="19" spans="1:17" ht="32" customHeight="1">
      <c r="A19" s="8" t="s">
        <v>32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6">
        <f>IF(L19="","",HYPERLINK(L19,"Open folder"))</f>
        <v/>
      </c>
      <c r="Q19" s="6">
        <f>IF(M19="","",HYPERLINK(M19,"Open dashboard"))</f>
        <v/>
      </c>
    </row>
    <row r="20" spans="1:17" ht="32" customHeight="1">
      <c r="A20" s="8" t="s">
        <v>33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6">
        <f>IF(L20="","",HYPERLINK(L20,"Open folder"))</f>
        <v/>
      </c>
      <c r="Q20" s="6">
        <f>IF(M20="","",HYPERLINK(M20,"Open dashboard"))</f>
        <v/>
      </c>
    </row>
    <row r="21" spans="1:17" ht="32" customHeight="1">
      <c r="A21" s="8" t="s">
        <v>34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6">
        <f>IF(L21="","",HYPERLINK(L21,"Open folder"))</f>
        <v/>
      </c>
      <c r="Q21" s="6">
        <f>IF(M21="","",HYPERLINK(M21,"Open dashboard"))</f>
        <v/>
      </c>
    </row>
    <row r="22" spans="1:17" ht="32" customHeight="1">
      <c r="A22" s="8" t="s">
        <v>35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6">
        <f>IF(L22="","",HYPERLINK(L22,"Open folder"))</f>
        <v/>
      </c>
      <c r="Q22" s="6">
        <f>IF(M22="","",HYPERLINK(M22,"Open dashboard"))</f>
        <v/>
      </c>
    </row>
    <row r="23" spans="1:17" ht="32" customHeight="1">
      <c r="A23" s="8" t="s">
        <v>36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6">
        <f>IF(L23="","",HYPERLINK(L23,"Open folder"))</f>
        <v/>
      </c>
      <c r="Q23" s="6">
        <f>IF(M23="","",HYPERLINK(M23,"Open dashboard"))</f>
        <v/>
      </c>
    </row>
    <row r="24" spans="1:17" ht="32" customHeight="1">
      <c r="A24" s="8" t="s">
        <v>37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6">
        <f>IF(L24="","",HYPERLINK(L24,"Open folder"))</f>
        <v/>
      </c>
      <c r="Q24" s="6">
        <f>IF(M24="","",HYPERLINK(M24,"Open dashboard"))</f>
        <v/>
      </c>
    </row>
    <row r="25" spans="1:17" ht="32" customHeight="1">
      <c r="A25" s="8" t="s">
        <v>38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6">
        <f>IF(L25="","",HYPERLINK(L25,"Open folder"))</f>
        <v/>
      </c>
      <c r="Q25" s="6">
        <f>IF(M25="","",HYPERLINK(M25,"Open dashboard"))</f>
        <v/>
      </c>
    </row>
    <row r="26" spans="1:17" ht="32" customHeight="1">
      <c r="A26" s="8" t="s">
        <v>39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6">
        <f>IF(L26="","",HYPERLINK(L26,"Open folder"))</f>
        <v/>
      </c>
      <c r="Q26" s="6">
        <f>IF(M26="","",HYPERLINK(M26,"Open dashboard"))</f>
        <v/>
      </c>
    </row>
    <row r="27" spans="1:17" ht="32" customHeight="1">
      <c r="A27" s="8" t="s">
        <v>40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6">
        <f>IF(L27="","",HYPERLINK(L27,"Open folder"))</f>
        <v/>
      </c>
      <c r="Q27" s="6">
        <f>IF(M27="","",HYPERLINK(M27,"Open dashboard"))</f>
        <v/>
      </c>
    </row>
    <row r="28" spans="1:17" ht="32" customHeight="1">
      <c r="A28" s="8" t="s">
        <v>41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6">
        <f>IF(L28="","",HYPERLINK(L28,"Open folder"))</f>
        <v/>
      </c>
      <c r="Q28" s="6">
        <f>IF(M28="","",HYPERLINK(M28,"Open dashboard"))</f>
        <v/>
      </c>
    </row>
    <row r="29" spans="1:17" ht="32" customHeight="1">
      <c r="A29" s="8" t="s">
        <v>42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6">
        <f>IF(L29="","",HYPERLINK(L29,"Open folder"))</f>
        <v/>
      </c>
      <c r="Q29" s="6">
        <f>IF(M29="","",HYPERLINK(M29,"Open dashboard"))</f>
        <v/>
      </c>
    </row>
    <row r="30" spans="1:17" ht="32" customHeight="1">
      <c r="A30" s="8" t="s">
        <v>43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6">
        <f>IF(L30="","",HYPERLINK(L30,"Open folder"))</f>
        <v/>
      </c>
      <c r="Q30" s="6">
        <f>IF(M30="","",HYPERLINK(M30,"Open dashboard"))</f>
        <v/>
      </c>
    </row>
    <row r="31" spans="1:17" ht="32" customHeight="1">
      <c r="A31" s="8" t="s">
        <v>44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6">
        <f>IF(L31="","",HYPERLINK(L31,"Open folder"))</f>
        <v/>
      </c>
      <c r="Q31" s="6">
        <f>IF(M31="","",HYPERLINK(M31,"Open dashboard"))</f>
        <v/>
      </c>
    </row>
    <row r="32" spans="1:17" ht="32" customHeight="1">
      <c r="A32" s="8" t="s">
        <v>45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6">
        <f>IF(L32="","",HYPERLINK(L32,"Open folder"))</f>
        <v/>
      </c>
      <c r="Q32" s="6">
        <f>IF(M32="","",HYPERLINK(M32,"Open dashboard"))</f>
        <v/>
      </c>
    </row>
    <row r="33" spans="1:17" ht="32" customHeight="1">
      <c r="A33" s="8" t="s">
        <v>46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6">
        <f>IF(L33="","",HYPERLINK(L33,"Open folder"))</f>
        <v/>
      </c>
      <c r="Q33" s="6">
        <f>IF(M33="","",HYPERLINK(M33,"Open dashboard"))</f>
        <v/>
      </c>
    </row>
    <row r="34" spans="1:17" ht="32" customHeight="1">
      <c r="A34" s="8" t="s">
        <v>47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6">
        <f>IF(L34="","",HYPERLINK(L34,"Open folder"))</f>
        <v/>
      </c>
      <c r="Q34" s="6">
        <f>IF(M34="","",HYPERLINK(M34,"Open dashboard"))</f>
        <v/>
      </c>
    </row>
    <row r="35" spans="1:17" ht="32" customHeight="1">
      <c r="A35" s="8" t="s">
        <v>48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6">
        <f>IF(L35="","",HYPERLINK(L35,"Open folder"))</f>
        <v/>
      </c>
      <c r="Q35" s="6">
        <f>IF(M35="","",HYPERLINK(M35,"Open dashboard"))</f>
        <v/>
      </c>
    </row>
    <row r="36" spans="1:17" ht="32" customHeight="1">
      <c r="A36" s="8" t="s">
        <v>49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6">
        <f>IF(L36="","",HYPERLINK(L36,"Open folder"))</f>
        <v/>
      </c>
      <c r="Q36" s="6">
        <f>IF(M36="","",HYPERLINK(M36,"Open dashboard"))</f>
        <v/>
      </c>
    </row>
    <row r="37" spans="1:17" ht="32" customHeight="1">
      <c r="A37" s="8" t="s">
        <v>50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6">
        <f>IF(L37="","",HYPERLINK(L37,"Open folder"))</f>
        <v/>
      </c>
      <c r="Q37" s="6">
        <f>IF(M37="","",HYPERLINK(M37,"Open dashboard"))</f>
        <v/>
      </c>
    </row>
    <row r="38" spans="1:17" ht="32" customHeight="1">
      <c r="A38" s="8" t="s">
        <v>51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6">
        <f>IF(L38="","",HYPERLINK(L38,"Open folder"))</f>
        <v/>
      </c>
      <c r="Q38" s="6">
        <f>IF(M38="","",HYPERLINK(M38,"Open dashboard"))</f>
        <v/>
      </c>
    </row>
    <row r="39" spans="1:17" ht="32" customHeight="1">
      <c r="A39" s="8" t="s">
        <v>52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6">
        <f>IF(L39="","",HYPERLINK(L39,"Open folder"))</f>
        <v/>
      </c>
      <c r="Q39" s="6">
        <f>IF(M39="","",HYPERLINK(M39,"Open dashboard"))</f>
        <v/>
      </c>
    </row>
    <row r="40" spans="1:17" ht="32" customHeight="1">
      <c r="A40" s="8" t="s">
        <v>53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6">
        <f>IF(L40="","",HYPERLINK(L40,"Open folder"))</f>
        <v/>
      </c>
      <c r="Q40" s="6">
        <f>IF(M40="","",HYPERLINK(M40,"Open dashboard"))</f>
        <v/>
      </c>
    </row>
    <row r="41" spans="1:17" ht="32" customHeight="1">
      <c r="A41" s="8" t="s">
        <v>54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6">
        <f>IF(L41="","",HYPERLINK(L41,"Open folder"))</f>
        <v/>
      </c>
      <c r="Q41" s="6">
        <f>IF(M41="","",HYPERLINK(M41,"Open dashboard"))</f>
        <v/>
      </c>
    </row>
    <row r="42" spans="1:17" ht="32" customHeight="1">
      <c r="A42" s="8" t="s">
        <v>55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6">
        <f>IF(L42="","",HYPERLINK(L42,"Open folder"))</f>
        <v/>
      </c>
      <c r="Q42" s="6">
        <f>IF(M42="","",HYPERLINK(M42,"Open dashboard"))</f>
        <v/>
      </c>
    </row>
    <row r="43" spans="1:17" ht="32" customHeight="1">
      <c r="A43" s="8" t="s">
        <v>56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6">
        <f>IF(L43="","",HYPERLINK(L43,"Open folder"))</f>
        <v/>
      </c>
      <c r="Q43" s="6">
        <f>IF(M43="","",HYPERLINK(M43,"Open dashboard"))</f>
        <v/>
      </c>
    </row>
    <row r="44" spans="1:17" ht="32" customHeight="1">
      <c r="A44" s="8" t="s">
        <v>57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6">
        <f>IF(L44="","",HYPERLINK(L44,"Open folder"))</f>
        <v/>
      </c>
      <c r="Q44" s="6">
        <f>IF(M44="","",HYPERLINK(M44,"Open dashboard"))</f>
        <v/>
      </c>
    </row>
    <row r="45" spans="1:17" ht="32" customHeight="1">
      <c r="A45" s="8" t="s">
        <v>58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6">
        <f>IF(L45="","",HYPERLINK(L45,"Open folder"))</f>
        <v/>
      </c>
      <c r="Q45" s="6">
        <f>IF(M45="","",HYPERLINK(M45,"Open dashboard"))</f>
        <v/>
      </c>
    </row>
    <row r="46" spans="1:17" ht="32" customHeight="1">
      <c r="A46" s="8" t="s">
        <v>59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6">
        <f>IF(L46="","",HYPERLINK(L46,"Open folder"))</f>
        <v/>
      </c>
      <c r="Q46" s="6">
        <f>IF(M46="","",HYPERLINK(M46,"Open dashboard"))</f>
        <v/>
      </c>
    </row>
    <row r="47" spans="1:17" ht="32" customHeight="1">
      <c r="A47" s="8" t="s">
        <v>60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6">
        <f>IF(L47="","",HYPERLINK(L47,"Open folder"))</f>
        <v/>
      </c>
      <c r="Q47" s="6">
        <f>IF(M47="","",HYPERLINK(M47,"Open dashboard"))</f>
        <v/>
      </c>
    </row>
    <row r="48" spans="1:17" ht="32" customHeight="1">
      <c r="A48" s="8" t="s">
        <v>61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6">
        <f>IF(L48="","",HYPERLINK(L48,"Open folder"))</f>
        <v/>
      </c>
      <c r="Q48" s="6">
        <f>IF(M48="","",HYPERLINK(M48,"Open dashboard"))</f>
        <v/>
      </c>
    </row>
    <row r="49" spans="1:17" ht="32" customHeight="1">
      <c r="A49" s="8" t="s">
        <v>62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6">
        <f>IF(L49="","",HYPERLINK(L49,"Open folder"))</f>
        <v/>
      </c>
      <c r="Q49" s="6">
        <f>IF(M49="","",HYPERLINK(M49,"Open dashboard"))</f>
        <v/>
      </c>
    </row>
    <row r="50" spans="1:17" ht="32" customHeight="1">
      <c r="A50" s="8" t="s">
        <v>63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6">
        <f>IF(L50="","",HYPERLINK(L50,"Open folder"))</f>
        <v/>
      </c>
      <c r="Q50" s="6">
        <f>IF(M50="","",HYPERLINK(M50,"Open dashboard"))</f>
        <v/>
      </c>
    </row>
    <row r="51" spans="1:17" ht="32" customHeight="1">
      <c r="A51" s="8" t="s">
        <v>64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6">
        <f>IF(L51="","",HYPERLINK(L51,"Open folder"))</f>
        <v/>
      </c>
      <c r="Q51" s="6">
        <f>IF(M51="","",HYPERLINK(M51,"Open dashboard"))</f>
        <v/>
      </c>
    </row>
    <row r="52" spans="1:17" ht="32" customHeight="1">
      <c r="A52" s="8" t="s">
        <v>65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6">
        <f>IF(L52="","",HYPERLINK(L52,"Open folder"))</f>
        <v/>
      </c>
      <c r="Q52" s="6">
        <f>IF(M52="","",HYPERLINK(M52,"Open dashboard"))</f>
        <v/>
      </c>
    </row>
    <row r="53" spans="1:17" ht="32" customHeight="1">
      <c r="A53" s="8" t="s">
        <v>66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6">
        <f>IF(L53="","",HYPERLINK(L53,"Open folder"))</f>
        <v/>
      </c>
      <c r="Q53" s="6">
        <f>IF(M53="","",HYPERLINK(M53,"Open dashboard"))</f>
        <v/>
      </c>
    </row>
    <row r="54" spans="1:17" ht="32" customHeight="1">
      <c r="A54" s="8" t="s">
        <v>67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6">
        <f>IF(L54="","",HYPERLINK(L54,"Open folder"))</f>
        <v/>
      </c>
      <c r="Q54" s="6">
        <f>IF(M54="","",HYPERLINK(M54,"Open dashboard"))</f>
        <v/>
      </c>
    </row>
    <row r="55" spans="1:17" ht="32" customHeight="1">
      <c r="A55" s="8" t="s">
        <v>68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6">
        <f>IF(L55="","",HYPERLINK(L55,"Open folder"))</f>
        <v/>
      </c>
      <c r="Q55" s="6">
        <f>IF(M55="","",HYPERLINK(M55,"Open dashboard"))</f>
        <v/>
      </c>
    </row>
    <row r="56" spans="1:17" ht="32" customHeight="1">
      <c r="A56" s="8" t="s">
        <v>69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6">
        <f>IF(L56="","",HYPERLINK(L56,"Open folder"))</f>
        <v/>
      </c>
      <c r="Q56" s="6">
        <f>IF(M56="","",HYPERLINK(M56,"Open dashboard"))</f>
        <v/>
      </c>
    </row>
    <row r="57" spans="1:17" ht="32" customHeight="1">
      <c r="A57" s="8" t="s">
        <v>70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6">
        <f>IF(L57="","",HYPERLINK(L57,"Open folder"))</f>
        <v/>
      </c>
      <c r="Q57" s="6">
        <f>IF(M57="","",HYPERLINK(M57,"Open dashboard"))</f>
        <v/>
      </c>
    </row>
    <row r="58" spans="1:17" ht="32" customHeight="1">
      <c r="A58" s="8" t="s">
        <v>71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6">
        <f>IF(L58="","",HYPERLINK(L58,"Open folder"))</f>
        <v/>
      </c>
      <c r="Q58" s="6">
        <f>IF(M58="","",HYPERLINK(M58,"Open dashboard"))</f>
        <v/>
      </c>
    </row>
    <row r="59" spans="1:17" ht="32" customHeight="1">
      <c r="A59" s="8" t="s">
        <v>72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6">
        <f>IF(L59="","",HYPERLINK(L59,"Open folder"))</f>
        <v/>
      </c>
      <c r="Q59" s="6">
        <f>IF(M59="","",HYPERLINK(M59,"Open dashboard"))</f>
        <v/>
      </c>
    </row>
    <row r="60" spans="1:17" ht="32" customHeight="1">
      <c r="A60" s="8" t="s">
        <v>73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6">
        <f>IF(L60="","",HYPERLINK(L60,"Open folder"))</f>
        <v/>
      </c>
      <c r="Q60" s="6">
        <f>IF(M60="","",HYPERLINK(M60,"Open dashboard"))</f>
        <v/>
      </c>
    </row>
    <row r="61" spans="1:17" ht="32" customHeight="1">
      <c r="A61" s="8" t="s">
        <v>74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6">
        <f>IF(L61="","",HYPERLINK(L61,"Open folder"))</f>
        <v/>
      </c>
      <c r="Q61" s="6">
        <f>IF(M61="","",HYPERLINK(M61,"Open dashboard"))</f>
        <v/>
      </c>
    </row>
    <row r="62" spans="1:17" ht="32" customHeight="1">
      <c r="A62" s="8" t="s">
        <v>75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6">
        <f>IF(L62="","",HYPERLINK(L62,"Open folder"))</f>
        <v/>
      </c>
      <c r="Q62" s="6">
        <f>IF(M62="","",HYPERLINK(M62,"Open dashboard"))</f>
        <v/>
      </c>
    </row>
    <row r="63" spans="1:17" ht="32" customHeight="1">
      <c r="A63" s="8" t="s">
        <v>76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6">
        <f>IF(L63="","",HYPERLINK(L63,"Open folder"))</f>
        <v/>
      </c>
      <c r="Q63" s="6">
        <f>IF(M63="","",HYPERLINK(M63,"Open dashboard"))</f>
        <v/>
      </c>
    </row>
    <row r="64" spans="1:17" ht="32" customHeight="1">
      <c r="A64" s="8" t="s">
        <v>77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6">
        <f>IF(L64="","",HYPERLINK(L64,"Open folder"))</f>
        <v/>
      </c>
      <c r="Q64" s="6">
        <f>IF(M64="","",HYPERLINK(M64,"Open dashboard"))</f>
        <v/>
      </c>
    </row>
    <row r="65" spans="1:17" ht="32" customHeight="1">
      <c r="A65" s="8" t="s">
        <v>78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6">
        <f>IF(L65="","",HYPERLINK(L65,"Open folder"))</f>
        <v/>
      </c>
      <c r="Q65" s="6">
        <f>IF(M65="","",HYPERLINK(M65,"Open dashboard"))</f>
        <v/>
      </c>
    </row>
    <row r="66" spans="1:17" ht="32" customHeight="1">
      <c r="A66" s="8" t="s">
        <v>79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6">
        <f>IF(L66="","",HYPERLINK(L66,"Open folder"))</f>
        <v/>
      </c>
      <c r="Q66" s="6">
        <f>IF(M66="","",HYPERLINK(M66,"Open dashboard"))</f>
        <v/>
      </c>
    </row>
    <row r="67" spans="1:17" ht="32" customHeight="1">
      <c r="A67" s="8" t="s">
        <v>80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6">
        <f>IF(L67="","",HYPERLINK(L67,"Open folder"))</f>
        <v/>
      </c>
      <c r="Q67" s="6">
        <f>IF(M67="","",HYPERLINK(M67,"Open dashboard"))</f>
        <v/>
      </c>
    </row>
    <row r="68" spans="1:17" ht="32" customHeight="1">
      <c r="A68" s="8" t="s">
        <v>81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6">
        <f>IF(L68="","",HYPERLINK(L68,"Open folder"))</f>
        <v/>
      </c>
      <c r="Q68" s="6">
        <f>IF(M68="","",HYPERLINK(M68,"Open dashboard"))</f>
        <v/>
      </c>
    </row>
    <row r="69" spans="1:17" ht="32" customHeight="1">
      <c r="A69" s="8" t="s">
        <v>82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6">
        <f>IF(L69="","",HYPERLINK(L69,"Open folder"))</f>
        <v/>
      </c>
      <c r="Q69" s="6">
        <f>IF(M69="","",HYPERLINK(M69,"Open dashboard"))</f>
        <v/>
      </c>
    </row>
    <row r="70" spans="1:17" ht="32" customHeight="1">
      <c r="A70" s="8" t="s">
        <v>83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6">
        <f>IF(L70="","",HYPERLINK(L70,"Open folder"))</f>
        <v/>
      </c>
      <c r="Q70" s="6">
        <f>IF(M70="","",HYPERLINK(M70,"Open dashboard"))</f>
        <v/>
      </c>
    </row>
    <row r="71" spans="1:17" ht="32" customHeight="1">
      <c r="A71" s="8" t="s">
        <v>84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6">
        <f>IF(L71="","",HYPERLINK(L71,"Open folder"))</f>
        <v/>
      </c>
      <c r="Q71" s="6">
        <f>IF(M71="","",HYPERLINK(M71,"Open dashboard"))</f>
        <v/>
      </c>
    </row>
    <row r="72" spans="1:17" ht="32" customHeight="1">
      <c r="A72" s="8" t="s">
        <v>85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6">
        <f>IF(L72="","",HYPERLINK(L72,"Open folder"))</f>
        <v/>
      </c>
      <c r="Q72" s="6">
        <f>IF(M72="","",HYPERLINK(M72,"Open dashboard"))</f>
        <v/>
      </c>
    </row>
    <row r="73" spans="1:17" ht="32" customHeight="1">
      <c r="A73" s="8" t="s">
        <v>86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6">
        <f>IF(L73="","",HYPERLINK(L73,"Open folder"))</f>
        <v/>
      </c>
      <c r="Q73" s="6">
        <f>IF(M73="","",HYPERLINK(M73,"Open dashboard"))</f>
        <v/>
      </c>
    </row>
    <row r="74" spans="1:17" ht="32" customHeight="1">
      <c r="A74" s="8" t="s">
        <v>87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6">
        <f>IF(L74="","",HYPERLINK(L74,"Open folder"))</f>
        <v/>
      </c>
      <c r="Q74" s="6">
        <f>IF(M74="","",HYPERLINK(M74,"Open dashboard"))</f>
        <v/>
      </c>
    </row>
    <row r="75" spans="1:17" ht="32" customHeight="1">
      <c r="A75" s="8" t="s">
        <v>88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6">
        <f>IF(L75="","",HYPERLINK(L75,"Open folder"))</f>
        <v/>
      </c>
      <c r="Q75" s="6">
        <f>IF(M75="","",HYPERLINK(M75,"Open dashboard"))</f>
        <v/>
      </c>
    </row>
    <row r="76" spans="1:17" ht="32" customHeight="1">
      <c r="A76" s="8" t="s">
        <v>89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6">
        <f>IF(L76="","",HYPERLINK(L76,"Open folder"))</f>
        <v/>
      </c>
      <c r="Q76" s="6">
        <f>IF(M76="","",HYPERLINK(M76,"Open dashboard"))</f>
        <v/>
      </c>
    </row>
    <row r="77" spans="1:17" ht="32" customHeight="1">
      <c r="A77" s="8" t="s">
        <v>90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6">
        <f>IF(L77="","",HYPERLINK(L77,"Open folder"))</f>
        <v/>
      </c>
      <c r="Q77" s="6">
        <f>IF(M77="","",HYPERLINK(M77,"Open dashboard"))</f>
        <v/>
      </c>
    </row>
    <row r="78" spans="1:17" ht="32" customHeight="1">
      <c r="A78" s="8" t="s">
        <v>91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6">
        <f>IF(L78="","",HYPERLINK(L78,"Open folder"))</f>
        <v/>
      </c>
      <c r="Q78" s="6">
        <f>IF(M78="","",HYPERLINK(M78,"Open dashboard"))</f>
        <v/>
      </c>
    </row>
    <row r="79" spans="1:17" ht="32" customHeight="1">
      <c r="A79" s="8" t="s">
        <v>92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6">
        <f>IF(L79="","",HYPERLINK(L79,"Open folder"))</f>
        <v/>
      </c>
      <c r="Q79" s="6">
        <f>IF(M79="","",HYPERLINK(M79,"Open dashboard"))</f>
        <v/>
      </c>
    </row>
    <row r="80" spans="1:17" ht="32" customHeight="1">
      <c r="A80" s="8" t="s">
        <v>93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6">
        <f>IF(L80="","",HYPERLINK(L80,"Open folder"))</f>
        <v/>
      </c>
      <c r="Q80" s="6">
        <f>IF(M80="","",HYPERLINK(M80,"Open dashboard"))</f>
        <v/>
      </c>
    </row>
    <row r="81" spans="1:17" ht="32" customHeight="1">
      <c r="A81" s="8" t="s">
        <v>94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6">
        <f>IF(L81="","",HYPERLINK(L81,"Open folder"))</f>
        <v/>
      </c>
      <c r="Q81" s="6">
        <f>IF(M81="","",HYPERLINK(M81,"Open dashboard"))</f>
        <v/>
      </c>
    </row>
    <row r="82" spans="1:17" ht="32" customHeight="1">
      <c r="A82" s="8" t="s">
        <v>95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6">
        <f>IF(L82="","",HYPERLINK(L82,"Open folder"))</f>
        <v/>
      </c>
      <c r="Q82" s="6">
        <f>IF(M82="","",HYPERLINK(M82,"Open dashboard"))</f>
        <v/>
      </c>
    </row>
    <row r="83" spans="1:17" ht="32" customHeight="1">
      <c r="A83" s="8" t="s">
        <v>96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6">
        <f>IF(L83="","",HYPERLINK(L83,"Open folder"))</f>
        <v/>
      </c>
      <c r="Q83" s="6">
        <f>IF(M83="","",HYPERLINK(M83,"Open dashboard"))</f>
        <v/>
      </c>
    </row>
    <row r="84" spans="1:17" ht="32" customHeight="1">
      <c r="A84" s="8" t="s">
        <v>97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6">
        <f>IF(L84="","",HYPERLINK(L84,"Open folder"))</f>
        <v/>
      </c>
      <c r="Q84" s="6">
        <f>IF(M84="","",HYPERLINK(M84,"Open dashboard"))</f>
        <v/>
      </c>
    </row>
    <row r="85" spans="1:17" ht="32" customHeight="1">
      <c r="A85" s="8" t="s">
        <v>98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6">
        <f>IF(L85="","",HYPERLINK(L85,"Open folder"))</f>
        <v/>
      </c>
      <c r="Q85" s="6">
        <f>IF(M85="","",HYPERLINK(M85,"Open dashboard"))</f>
        <v/>
      </c>
    </row>
    <row r="86" spans="1:17" ht="32" customHeight="1">
      <c r="A86" s="8" t="s">
        <v>99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6">
        <f>IF(L86="","",HYPERLINK(L86,"Open folder"))</f>
        <v/>
      </c>
      <c r="Q86" s="6">
        <f>IF(M86="","",HYPERLINK(M86,"Open dashboard"))</f>
        <v/>
      </c>
    </row>
    <row r="87" spans="1:17" ht="32" customHeight="1">
      <c r="A87" s="8" t="s">
        <v>100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6">
        <f>IF(L87="","",HYPERLINK(L87,"Open folder"))</f>
        <v/>
      </c>
      <c r="Q87" s="6">
        <f>IF(M87="","",HYPERLINK(M87,"Open dashboard"))</f>
        <v/>
      </c>
    </row>
    <row r="88" spans="1:17" ht="32" customHeight="1">
      <c r="A88" s="8" t="s">
        <v>101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6">
        <f>IF(L88="","",HYPERLINK(L88,"Open folder"))</f>
        <v/>
      </c>
      <c r="Q88" s="6">
        <f>IF(M88="","",HYPERLINK(M88,"Open dashboard"))</f>
        <v/>
      </c>
    </row>
    <row r="89" spans="1:17" ht="32" customHeight="1">
      <c r="A89" s="8" t="s">
        <v>102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6">
        <f>IF(L89="","",HYPERLINK(L89,"Open folder"))</f>
        <v/>
      </c>
      <c r="Q89" s="6">
        <f>IF(M89="","",HYPERLINK(M89,"Open dashboard"))</f>
        <v/>
      </c>
    </row>
    <row r="90" spans="1:17" ht="32" customHeight="1">
      <c r="A90" s="8" t="s">
        <v>103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6">
        <f>IF(L90="","",HYPERLINK(L90,"Open folder"))</f>
        <v/>
      </c>
      <c r="Q90" s="6">
        <f>IF(M90="","",HYPERLINK(M90,"Open dashboard"))</f>
        <v/>
      </c>
    </row>
    <row r="91" spans="1:17" ht="32" customHeight="1">
      <c r="A91" s="8" t="s">
        <v>104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6">
        <f>IF(L91="","",HYPERLINK(L91,"Open folder"))</f>
        <v/>
      </c>
      <c r="Q91" s="6">
        <f>IF(M91="","",HYPERLINK(M91,"Open dashboard"))</f>
        <v/>
      </c>
    </row>
    <row r="92" spans="1:17" ht="32" customHeight="1">
      <c r="A92" s="8" t="s">
        <v>105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6">
        <f>IF(L92="","",HYPERLINK(L92,"Open folder"))</f>
        <v/>
      </c>
      <c r="Q92" s="6">
        <f>IF(M92="","",HYPERLINK(M92,"Open dashboard"))</f>
        <v/>
      </c>
    </row>
    <row r="93" spans="1:17" ht="32" customHeight="1">
      <c r="A93" s="8" t="s">
        <v>106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6">
        <f>IF(L93="","",HYPERLINK(L93,"Open folder"))</f>
        <v/>
      </c>
      <c r="Q93" s="6">
        <f>IF(M93="","",HYPERLINK(M93,"Open dashboard"))</f>
        <v/>
      </c>
    </row>
    <row r="94" spans="1:17" ht="32" customHeight="1">
      <c r="A94" s="8" t="s">
        <v>107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6">
        <f>IF(L94="","",HYPERLINK(L94,"Open folder"))</f>
        <v/>
      </c>
      <c r="Q94" s="6">
        <f>IF(M94="","",HYPERLINK(M94,"Open dashboard"))</f>
        <v/>
      </c>
    </row>
    <row r="95" spans="1:17" ht="32" customHeight="1">
      <c r="A95" s="8" t="s">
        <v>108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6">
        <f>IF(L95="","",HYPERLINK(L95,"Open folder"))</f>
        <v/>
      </c>
      <c r="Q95" s="6">
        <f>IF(M95="","",HYPERLINK(M95,"Open dashboard"))</f>
        <v/>
      </c>
    </row>
    <row r="96" spans="1:17" ht="32" customHeight="1">
      <c r="A96" s="8" t="s">
        <v>109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6">
        <f>IF(L96="","",HYPERLINK(L96,"Open folder"))</f>
        <v/>
      </c>
      <c r="Q96" s="6">
        <f>IF(M96="","",HYPERLINK(M96,"Open dashboard"))</f>
        <v/>
      </c>
    </row>
    <row r="97" spans="1:17" ht="32" customHeight="1">
      <c r="A97" s="8" t="s">
        <v>110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6">
        <f>IF(L97="","",HYPERLINK(L97,"Open folder"))</f>
        <v/>
      </c>
      <c r="Q97" s="6">
        <f>IF(M97="","",HYPERLINK(M97,"Open dashboard"))</f>
        <v/>
      </c>
    </row>
    <row r="98" spans="1:17" ht="32" customHeight="1">
      <c r="A98" s="8" t="s">
        <v>111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6">
        <f>IF(L98="","",HYPERLINK(L98,"Open folder"))</f>
        <v/>
      </c>
      <c r="Q98" s="6">
        <f>IF(M98="","",HYPERLINK(M98,"Open dashboard"))</f>
        <v/>
      </c>
    </row>
    <row r="99" spans="1:17" ht="32" customHeight="1">
      <c r="A99" s="8" t="s">
        <v>112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6">
        <f>IF(L99="","",HYPERLINK(L99,"Open folder"))</f>
        <v/>
      </c>
      <c r="Q99" s="6">
        <f>IF(M99="","",HYPERLINK(M99,"Open dashboard"))</f>
        <v/>
      </c>
    </row>
    <row r="100" spans="1:17" ht="32" customHeight="1">
      <c r="A100" s="8" t="s">
        <v>113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6">
        <f>IF(L100="","",HYPERLINK(L100,"Open folder"))</f>
        <v/>
      </c>
      <c r="Q100" s="6">
        <f>IF(M100="","",HYPERLINK(M100,"Open dashboard"))</f>
        <v/>
      </c>
    </row>
    <row r="101" spans="1:17" ht="32" customHeight="1">
      <c r="A101" s="8" t="s">
        <v>114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6">
        <f>IF(L101="","",HYPERLINK(L101,"Open folder"))</f>
        <v/>
      </c>
      <c r="Q101" s="6">
        <f>IF(M101="","",HYPERLINK(M101,"Open dashboard"))</f>
        <v/>
      </c>
    </row>
    <row r="102" spans="1:17" ht="32" customHeight="1">
      <c r="A102" s="8" t="s">
        <v>115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6">
        <f>IF(L102="","",HYPERLINK(L102,"Open folder"))</f>
        <v/>
      </c>
      <c r="Q102" s="6">
        <f>IF(M102="","",HYPERLINK(M102,"Open dashboard"))</f>
        <v/>
      </c>
    </row>
    <row r="103" spans="1:17" ht="32" customHeight="1">
      <c r="A103" s="8" t="s">
        <v>116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6">
        <f>IF(L103="","",HYPERLINK(L103,"Open folder"))</f>
        <v/>
      </c>
      <c r="Q103" s="6">
        <f>IF(M103="","",HYPERLINK(M103,"Open dashboard"))</f>
        <v/>
      </c>
    </row>
    <row r="104" spans="1:17" ht="32" customHeight="1">
      <c r="A104" s="8" t="s">
        <v>117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6">
        <f>IF(L104="","",HYPERLINK(L104,"Open folder"))</f>
        <v/>
      </c>
      <c r="Q104" s="6">
        <f>IF(M104="","",HYPERLINK(M104,"Open dashboard"))</f>
        <v/>
      </c>
    </row>
    <row r="105" spans="1:17" ht="32" customHeight="1">
      <c r="A105" s="8" t="s">
        <v>118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6">
        <f>IF(L105="","",HYPERLINK(L105,"Open folder"))</f>
        <v/>
      </c>
      <c r="Q105" s="6">
        <f>IF(M105="","",HYPERLINK(M105,"Open dashboard"))</f>
        <v/>
      </c>
    </row>
    <row r="106" spans="1:17" ht="32" customHeight="1">
      <c r="A106" s="8" t="s">
        <v>119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6">
        <f>IF(L106="","",HYPERLINK(L106,"Open folder"))</f>
        <v/>
      </c>
      <c r="Q106" s="6">
        <f>IF(M106="","",HYPERLINK(M106,"Open dashboard"))</f>
        <v/>
      </c>
    </row>
    <row r="107" spans="1:17" ht="32" customHeight="1">
      <c r="A107" s="8" t="s">
        <v>120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6">
        <f>IF(L107="","",HYPERLINK(L107,"Open folder"))</f>
        <v/>
      </c>
      <c r="Q107" s="6">
        <f>IF(M107="","",HYPERLINK(M107,"Open dashboard"))</f>
        <v/>
      </c>
    </row>
    <row r="108" spans="1:17" ht="32" customHeight="1">
      <c r="A108" s="8" t="s">
        <v>121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6">
        <f>IF(L108="","",HYPERLINK(L108,"Open folder"))</f>
        <v/>
      </c>
      <c r="Q108" s="6">
        <f>IF(M108="","",HYPERLINK(M108,"Open dashboard"))</f>
        <v/>
      </c>
    </row>
    <row r="109" spans="1:17" ht="32" customHeight="1">
      <c r="A109" s="8" t="s">
        <v>122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6">
        <f>IF(L109="","",HYPERLINK(L109,"Open folder"))</f>
        <v/>
      </c>
      <c r="Q109" s="6">
        <f>IF(M109="","",HYPERLINK(M109,"Open dashboard"))</f>
        <v/>
      </c>
    </row>
    <row r="110" spans="1:17" ht="32" customHeight="1">
      <c r="A110" s="8" t="s">
        <v>123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6">
        <f>IF(L110="","",HYPERLINK(L110,"Open folder"))</f>
        <v/>
      </c>
      <c r="Q110" s="6">
        <f>IF(M110="","",HYPERLINK(M110,"Open dashboard"))</f>
        <v/>
      </c>
    </row>
    <row r="111" spans="1:17" ht="32" customHeight="1">
      <c r="A111" s="8" t="s">
        <v>124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6">
        <f>IF(L111="","",HYPERLINK(L111,"Open folder"))</f>
        <v/>
      </c>
      <c r="Q111" s="6">
        <f>IF(M111="","",HYPERLINK(M111,"Open dashboard"))</f>
        <v/>
      </c>
    </row>
    <row r="112" spans="1:17" ht="32" customHeight="1">
      <c r="A112" s="8" t="s">
        <v>125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6">
        <f>IF(L112="","",HYPERLINK(L112,"Open folder"))</f>
        <v/>
      </c>
      <c r="Q112" s="6">
        <f>IF(M112="","",HYPERLINK(M112,"Open dashboard"))</f>
        <v/>
      </c>
    </row>
    <row r="113" spans="1:17" ht="32" customHeight="1">
      <c r="A113" s="8" t="s">
        <v>126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6">
        <f>IF(L113="","",HYPERLINK(L113,"Open folder"))</f>
        <v/>
      </c>
      <c r="Q113" s="6">
        <f>IF(M113="","",HYPERLINK(M113,"Open dashboard"))</f>
        <v/>
      </c>
    </row>
    <row r="114" spans="1:17" ht="32" customHeight="1">
      <c r="A114" s="8" t="s">
        <v>127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6">
        <f>IF(L114="","",HYPERLINK(L114,"Open folder"))</f>
        <v/>
      </c>
      <c r="Q114" s="6">
        <f>IF(M114="","",HYPERLINK(M114,"Open dashboard"))</f>
        <v/>
      </c>
    </row>
    <row r="115" spans="1:17" ht="32" customHeight="1">
      <c r="A115" s="8" t="s">
        <v>128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6">
        <f>IF(L115="","",HYPERLINK(L115,"Open folder"))</f>
        <v/>
      </c>
      <c r="Q115" s="6">
        <f>IF(M115="","",HYPERLINK(M115,"Open dashboard"))</f>
        <v/>
      </c>
    </row>
    <row r="116" spans="1:17" ht="32" customHeight="1">
      <c r="A116" s="8" t="s">
        <v>129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6">
        <f>IF(L116="","",HYPERLINK(L116,"Open folder"))</f>
        <v/>
      </c>
      <c r="Q116" s="6">
        <f>IF(M116="","",HYPERLINK(M116,"Open dashboard"))</f>
        <v/>
      </c>
    </row>
    <row r="117" spans="1:17" ht="32" customHeight="1">
      <c r="A117" s="8" t="s">
        <v>130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6">
        <f>IF(L117="","",HYPERLINK(L117,"Open folder"))</f>
        <v/>
      </c>
      <c r="Q117" s="6">
        <f>IF(M117="","",HYPERLINK(M117,"Open dashboard"))</f>
        <v/>
      </c>
    </row>
    <row r="118" spans="1:17" ht="32" customHeight="1">
      <c r="A118" s="8" t="s">
        <v>131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6">
        <f>IF(L118="","",HYPERLINK(L118,"Open folder"))</f>
        <v/>
      </c>
      <c r="Q118" s="6">
        <f>IF(M118="","",HYPERLINK(M118,"Open dashboard"))</f>
        <v/>
      </c>
    </row>
    <row r="119" spans="1:17" ht="32" customHeight="1">
      <c r="A119" s="8" t="s">
        <v>132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6">
        <f>IF(L119="","",HYPERLINK(L119,"Open folder"))</f>
        <v/>
      </c>
      <c r="Q119" s="6">
        <f>IF(M119="","",HYPERLINK(M119,"Open dashboard"))</f>
        <v/>
      </c>
    </row>
    <row r="120" spans="1:17" ht="32" customHeight="1">
      <c r="A120" s="8" t="s">
        <v>133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6">
        <f>IF(L120="","",HYPERLINK(L120,"Open folder"))</f>
        <v/>
      </c>
      <c r="Q120" s="6">
        <f>IF(M120="","",HYPERLINK(M120,"Open dashboard"))</f>
        <v/>
      </c>
    </row>
    <row r="121" spans="1:17" ht="32" customHeight="1">
      <c r="A121" s="8" t="s">
        <v>134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6">
        <f>IF(L121="","",HYPERLINK(L121,"Open folder"))</f>
        <v/>
      </c>
      <c r="Q121" s="6">
        <f>IF(M121="","",HYPERLINK(M121,"Open dashboard"))</f>
        <v/>
      </c>
    </row>
    <row r="122" spans="1:17" ht="32" customHeight="1">
      <c r="A122" s="8" t="s">
        <v>135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6">
        <f>IF(L122="","",HYPERLINK(L122,"Open folder"))</f>
        <v/>
      </c>
      <c r="Q122" s="6">
        <f>IF(M122="","",HYPERLINK(M122,"Open dashboard"))</f>
        <v/>
      </c>
    </row>
    <row r="123" spans="1:17" ht="32" customHeight="1">
      <c r="A123" s="8" t="s">
        <v>136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6">
        <f>IF(L123="","",HYPERLINK(L123,"Open folder"))</f>
        <v/>
      </c>
      <c r="Q123" s="6">
        <f>IF(M123="","",HYPERLINK(M123,"Open dashboard"))</f>
        <v/>
      </c>
    </row>
    <row r="124" spans="1:17" ht="32" customHeight="1">
      <c r="A124" s="8" t="s">
        <v>137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6">
        <f>IF(L124="","",HYPERLINK(L124,"Open folder"))</f>
        <v/>
      </c>
      <c r="Q124" s="6">
        <f>IF(M124="","",HYPERLINK(M124,"Open dashboard"))</f>
        <v/>
      </c>
    </row>
    <row r="125" spans="1:17" ht="32" customHeight="1">
      <c r="A125" s="8" t="s">
        <v>138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6">
        <f>IF(L125="","",HYPERLINK(L125,"Open folder"))</f>
        <v/>
      </c>
      <c r="Q125" s="6">
        <f>IF(M125="","",HYPERLINK(M125,"Open dashboard"))</f>
        <v/>
      </c>
    </row>
    <row r="126" spans="1:17" ht="32" customHeight="1">
      <c r="A126" s="8" t="s">
        <v>139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6">
        <f>IF(L126="","",HYPERLINK(L126,"Open folder"))</f>
        <v/>
      </c>
      <c r="Q126" s="6">
        <f>IF(M126="","",HYPERLINK(M126,"Open dashboard"))</f>
        <v/>
      </c>
    </row>
    <row r="127" spans="1:17" ht="32" customHeight="1">
      <c r="A127" s="8" t="s">
        <v>140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6">
        <f>IF(L127="","",HYPERLINK(L127,"Open folder"))</f>
        <v/>
      </c>
      <c r="Q127" s="6">
        <f>IF(M127="","",HYPERLINK(M127,"Open dashboard"))</f>
        <v/>
      </c>
    </row>
    <row r="128" spans="1:17" ht="32" customHeight="1">
      <c r="A128" s="8" t="s">
        <v>141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6">
        <f>IF(L128="","",HYPERLINK(L128,"Open folder"))</f>
        <v/>
      </c>
      <c r="Q128" s="6">
        <f>IF(M128="","",HYPERLINK(M128,"Open dashboard"))</f>
        <v/>
      </c>
    </row>
    <row r="129" spans="1:17" ht="32" customHeight="1">
      <c r="A129" s="8" t="s">
        <v>142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6">
        <f>IF(L129="","",HYPERLINK(L129,"Open folder"))</f>
        <v/>
      </c>
      <c r="Q129" s="6">
        <f>IF(M129="","",HYPERLINK(M129,"Open dashboard"))</f>
        <v/>
      </c>
    </row>
    <row r="130" spans="1:17" ht="32" customHeight="1">
      <c r="A130" s="8" t="s">
        <v>143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6">
        <f>IF(L130="","",HYPERLINK(L130,"Open folder"))</f>
        <v/>
      </c>
      <c r="Q130" s="6">
        <f>IF(M130="","",HYPERLINK(M130,"Open dashboard"))</f>
        <v/>
      </c>
    </row>
    <row r="131" spans="1:17" ht="32" customHeight="1">
      <c r="A131" s="8" t="s">
        <v>144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6">
        <f>IF(L131="","",HYPERLINK(L131,"Open folder"))</f>
        <v/>
      </c>
      <c r="Q131" s="6">
        <f>IF(M131="","",HYPERLINK(M131,"Open dashboard"))</f>
        <v/>
      </c>
    </row>
    <row r="132" spans="1:17" ht="32" customHeight="1">
      <c r="A132" s="8" t="s">
        <v>145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6">
        <f>IF(L132="","",HYPERLINK(L132,"Open folder"))</f>
        <v/>
      </c>
      <c r="Q132" s="6">
        <f>IF(M132="","",HYPERLINK(M132,"Open dashboard"))</f>
        <v/>
      </c>
    </row>
    <row r="133" spans="1:17" ht="32" customHeight="1">
      <c r="A133" s="8" t="s">
        <v>146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6">
        <f>IF(L133="","",HYPERLINK(L133,"Open folder"))</f>
        <v/>
      </c>
      <c r="Q133" s="6">
        <f>IF(M133="","",HYPERLINK(M133,"Open dashboard"))</f>
        <v/>
      </c>
    </row>
    <row r="134" spans="1:17" ht="32" customHeight="1">
      <c r="A134" s="8" t="s">
        <v>147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6">
        <f>IF(L134="","",HYPERLINK(L134,"Open folder"))</f>
        <v/>
      </c>
      <c r="Q134" s="6">
        <f>IF(M134="","",HYPERLINK(M134,"Open dashboard"))</f>
        <v/>
      </c>
    </row>
    <row r="135" spans="1:17" ht="32" customHeight="1">
      <c r="A135" s="8" t="s">
        <v>148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6">
        <f>IF(L135="","",HYPERLINK(L135,"Open folder"))</f>
        <v/>
      </c>
      <c r="Q135" s="6">
        <f>IF(M135="","",HYPERLINK(M135,"Open dashboard"))</f>
        <v/>
      </c>
    </row>
    <row r="136" spans="1:17" ht="32" customHeight="1">
      <c r="A136" s="8" t="s">
        <v>149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6">
        <f>IF(L136="","",HYPERLINK(L136,"Open folder"))</f>
        <v/>
      </c>
      <c r="Q136" s="6">
        <f>IF(M136="","",HYPERLINK(M136,"Open dashboard"))</f>
        <v/>
      </c>
    </row>
    <row r="137" spans="1:17" ht="32" customHeight="1">
      <c r="A137" s="8" t="s">
        <v>150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6">
        <f>IF(L137="","",HYPERLINK(L137,"Open folder"))</f>
        <v/>
      </c>
      <c r="Q137" s="6">
        <f>IF(M137="","",HYPERLINK(M137,"Open dashboard"))</f>
        <v/>
      </c>
    </row>
    <row r="138" spans="1:17" ht="32" customHeight="1">
      <c r="A138" s="8" t="s">
        <v>151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6">
        <f>IF(L138="","",HYPERLINK(L138,"Open folder"))</f>
        <v/>
      </c>
      <c r="Q138" s="6">
        <f>IF(M138="","",HYPERLINK(M138,"Open dashboard"))</f>
        <v/>
      </c>
    </row>
    <row r="139" spans="1:17" ht="32" customHeight="1">
      <c r="A139" s="8" t="s">
        <v>152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6">
        <f>IF(L139="","",HYPERLINK(L139,"Open folder"))</f>
        <v/>
      </c>
      <c r="Q139" s="6">
        <f>IF(M139="","",HYPERLINK(M139,"Open dashboard"))</f>
        <v/>
      </c>
    </row>
    <row r="140" spans="1:17" ht="32" customHeight="1">
      <c r="A140" s="8" t="s">
        <v>153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6">
        <f>IF(L140="","",HYPERLINK(L140,"Open folder"))</f>
        <v/>
      </c>
      <c r="Q140" s="6">
        <f>IF(M140="","",HYPERLINK(M140,"Open dashboard"))</f>
        <v/>
      </c>
    </row>
    <row r="141" spans="1:17" ht="32" customHeight="1">
      <c r="A141" s="8" t="s">
        <v>154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6">
        <f>IF(L141="","",HYPERLINK(L141,"Open folder"))</f>
        <v/>
      </c>
      <c r="Q141" s="6">
        <f>IF(M141="","",HYPERLINK(M141,"Open dashboard"))</f>
        <v/>
      </c>
    </row>
    <row r="142" spans="1:17" ht="32" customHeight="1">
      <c r="A142" s="8" t="s">
        <v>155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6">
        <f>IF(L142="","",HYPERLINK(L142,"Open folder"))</f>
        <v/>
      </c>
      <c r="Q142" s="6">
        <f>IF(M142="","",HYPERLINK(M142,"Open dashboard"))</f>
        <v/>
      </c>
    </row>
    <row r="143" spans="1:17" ht="32" customHeight="1">
      <c r="A143" s="8" t="s">
        <v>156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6">
        <f>IF(L143="","",HYPERLINK(L143,"Open folder"))</f>
        <v/>
      </c>
      <c r="Q143" s="6">
        <f>IF(M143="","",HYPERLINK(M143,"Open dashboard"))</f>
        <v/>
      </c>
    </row>
    <row r="144" spans="1:17" ht="32" customHeight="1">
      <c r="A144" s="8" t="s">
        <v>157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6">
        <f>IF(L144="","",HYPERLINK(L144,"Open folder"))</f>
        <v/>
      </c>
      <c r="Q144" s="6">
        <f>IF(M144="","",HYPERLINK(M144,"Open dashboard"))</f>
        <v/>
      </c>
    </row>
    <row r="145" spans="1:17" ht="32" customHeight="1">
      <c r="A145" s="8" t="s">
        <v>158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6">
        <f>IF(L145="","",HYPERLINK(L145,"Open folder"))</f>
        <v/>
      </c>
      <c r="Q145" s="6">
        <f>IF(M145="","",HYPERLINK(M145,"Open dashboard"))</f>
        <v/>
      </c>
    </row>
    <row r="146" spans="1:17" ht="32" customHeight="1">
      <c r="A146" s="8" t="s">
        <v>159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6">
        <f>IF(L146="","",HYPERLINK(L146,"Open folder"))</f>
        <v/>
      </c>
      <c r="Q146" s="6">
        <f>IF(M146="","",HYPERLINK(M146,"Open dashboard"))</f>
        <v/>
      </c>
    </row>
    <row r="147" spans="1:17" ht="32" customHeight="1">
      <c r="A147" s="8" t="s">
        <v>160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6">
        <f>IF(L147="","",HYPERLINK(L147,"Open folder"))</f>
        <v/>
      </c>
      <c r="Q147" s="6">
        <f>IF(M147="","",HYPERLINK(M147,"Open dashboard"))</f>
        <v/>
      </c>
    </row>
    <row r="148" spans="1:17" ht="32" customHeight="1">
      <c r="A148" s="8" t="s">
        <v>161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6">
        <f>IF(L148="","",HYPERLINK(L148,"Open folder"))</f>
        <v/>
      </c>
      <c r="Q148" s="6">
        <f>IF(M148="","",HYPERLINK(M148,"Open dashboard"))</f>
        <v/>
      </c>
    </row>
    <row r="149" spans="1:17" ht="32" customHeight="1">
      <c r="A149" s="8" t="s">
        <v>162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6">
        <f>IF(L149="","",HYPERLINK(L149,"Open folder"))</f>
        <v/>
      </c>
      <c r="Q149" s="6">
        <f>IF(M149="","",HYPERLINK(M149,"Open dashboard"))</f>
        <v/>
      </c>
    </row>
    <row r="150" spans="1:17" ht="32" customHeight="1">
      <c r="A150" s="8" t="s">
        <v>163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6">
        <f>IF(L150="","",HYPERLINK(L150,"Open folder"))</f>
        <v/>
      </c>
      <c r="Q150" s="6">
        <f>IF(M150="","",HYPERLINK(M150,"Open dashboard"))</f>
        <v/>
      </c>
    </row>
    <row r="151" spans="1:17" ht="32" customHeight="1">
      <c r="A151" s="8" t="s">
        <v>164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6">
        <f>IF(L151="","",HYPERLINK(L151,"Open folder"))</f>
        <v/>
      </c>
      <c r="Q151" s="6">
        <f>IF(M151="","",HYPERLINK(M151,"Open dashboard"))</f>
        <v/>
      </c>
    </row>
    <row r="152" spans="1:17" ht="32" customHeight="1">
      <c r="A152" s="8" t="s">
        <v>165</v>
      </c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6">
        <f>IF(L152="","",HYPERLINK(L152,"Open folder"))</f>
        <v/>
      </c>
      <c r="Q152" s="6">
        <f>IF(M152="","",HYPERLINK(M152,"Open dashboard"))</f>
        <v/>
      </c>
    </row>
    <row r="153" spans="1:17" ht="32" customHeight="1">
      <c r="A153" s="8" t="s">
        <v>166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6">
        <f>IF(L153="","",HYPERLINK(L153,"Open folder"))</f>
        <v/>
      </c>
      <c r="Q153" s="6">
        <f>IF(M153="","",HYPERLINK(M153,"Open dashboard"))</f>
        <v/>
      </c>
    </row>
    <row r="154" spans="1:17" ht="32" customHeight="1">
      <c r="A154" s="8" t="s">
        <v>167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6">
        <f>IF(L154="","",HYPERLINK(L154,"Open folder"))</f>
        <v/>
      </c>
      <c r="Q154" s="6">
        <f>IF(M154="","",HYPERLINK(M154,"Open dashboard"))</f>
        <v/>
      </c>
    </row>
    <row r="155" spans="1:17" ht="32" customHeight="1">
      <c r="A155" s="8" t="s">
        <v>168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6">
        <f>IF(L155="","",HYPERLINK(L155,"Open folder"))</f>
        <v/>
      </c>
      <c r="Q155" s="6">
        <f>IF(M155="","",HYPERLINK(M155,"Open dashboard"))</f>
        <v/>
      </c>
    </row>
    <row r="156" spans="1:17" ht="32" customHeight="1">
      <c r="A156" s="8" t="s">
        <v>169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6">
        <f>IF(L156="","",HYPERLINK(L156,"Open folder"))</f>
        <v/>
      </c>
      <c r="Q156" s="6">
        <f>IF(M156="","",HYPERLINK(M156,"Open dashboard"))</f>
        <v/>
      </c>
    </row>
    <row r="157" spans="1:17" ht="32" customHeight="1">
      <c r="A157" s="8" t="s">
        <v>170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6">
        <f>IF(L157="","",HYPERLINK(L157,"Open folder"))</f>
        <v/>
      </c>
      <c r="Q157" s="6">
        <f>IF(M157="","",HYPERLINK(M157,"Open dashboard"))</f>
        <v/>
      </c>
    </row>
    <row r="158" spans="1:17" ht="32" customHeight="1">
      <c r="A158" s="8" t="s">
        <v>171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6">
        <f>IF(L158="","",HYPERLINK(L158,"Open folder"))</f>
        <v/>
      </c>
      <c r="Q158" s="6">
        <f>IF(M158="","",HYPERLINK(M158,"Open dashboard"))</f>
        <v/>
      </c>
    </row>
    <row r="159" spans="1:17" ht="32" customHeight="1">
      <c r="A159" s="8" t="s">
        <v>172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6">
        <f>IF(L159="","",HYPERLINK(L159,"Open folder"))</f>
        <v/>
      </c>
      <c r="Q159" s="6">
        <f>IF(M159="","",HYPERLINK(M159,"Open dashboard"))</f>
        <v/>
      </c>
    </row>
    <row r="160" spans="1:17" ht="32" customHeight="1">
      <c r="A160" s="8" t="s">
        <v>173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6">
        <f>IF(L160="","",HYPERLINK(L160,"Open folder"))</f>
        <v/>
      </c>
      <c r="Q160" s="6">
        <f>IF(M160="","",HYPERLINK(M160,"Open dashboard"))</f>
        <v/>
      </c>
    </row>
    <row r="161" spans="1:17" ht="32" customHeight="1">
      <c r="A161" s="8" t="s">
        <v>174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6">
        <f>IF(L161="","",HYPERLINK(L161,"Open folder"))</f>
        <v/>
      </c>
      <c r="Q161" s="6">
        <f>IF(M161="","",HYPERLINK(M161,"Open dashboard"))</f>
        <v/>
      </c>
    </row>
    <row r="162" spans="1:17" ht="32" customHeight="1">
      <c r="A162" s="8" t="s">
        <v>175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6">
        <f>IF(L162="","",HYPERLINK(L162,"Open folder"))</f>
        <v/>
      </c>
      <c r="Q162" s="6">
        <f>IF(M162="","",HYPERLINK(M162,"Open dashboard"))</f>
        <v/>
      </c>
    </row>
    <row r="163" spans="1:17" ht="32" customHeight="1">
      <c r="A163" s="8" t="s">
        <v>176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6">
        <f>IF(L163="","",HYPERLINK(L163,"Open folder"))</f>
        <v/>
      </c>
      <c r="Q163" s="6">
        <f>IF(M163="","",HYPERLINK(M163,"Open dashboard"))</f>
        <v/>
      </c>
    </row>
    <row r="164" spans="1:17" ht="32" customHeight="1">
      <c r="A164" s="8" t="s">
        <v>177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6">
        <f>IF(L164="","",HYPERLINK(L164,"Open folder"))</f>
        <v/>
      </c>
      <c r="Q164" s="6">
        <f>IF(M164="","",HYPERLINK(M164,"Open dashboard"))</f>
        <v/>
      </c>
    </row>
    <row r="165" spans="1:17" ht="32" customHeight="1">
      <c r="A165" s="8" t="s">
        <v>178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6">
        <f>IF(L165="","",HYPERLINK(L165,"Open folder"))</f>
        <v/>
      </c>
      <c r="Q165" s="6">
        <f>IF(M165="","",HYPERLINK(M165,"Open dashboard"))</f>
        <v/>
      </c>
    </row>
    <row r="166" spans="1:17" ht="32" customHeight="1">
      <c r="A166" s="8" t="s">
        <v>179</v>
      </c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6">
        <f>IF(L166="","",HYPERLINK(L166,"Open folder"))</f>
        <v/>
      </c>
      <c r="Q166" s="6">
        <f>IF(M166="","",HYPERLINK(M166,"Open dashboard"))</f>
        <v/>
      </c>
    </row>
    <row r="167" spans="1:17" ht="32" customHeight="1">
      <c r="A167" s="8" t="s">
        <v>180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6">
        <f>IF(L167="","",HYPERLINK(L167,"Open folder"))</f>
        <v/>
      </c>
      <c r="Q167" s="6">
        <f>IF(M167="","",HYPERLINK(M167,"Open dashboard"))</f>
        <v/>
      </c>
    </row>
    <row r="168" spans="1:17" ht="32" customHeight="1">
      <c r="A168" s="8" t="s">
        <v>181</v>
      </c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6">
        <f>IF(L168="","",HYPERLINK(L168,"Open folder"))</f>
        <v/>
      </c>
      <c r="Q168" s="6">
        <f>IF(M168="","",HYPERLINK(M168,"Open dashboard"))</f>
        <v/>
      </c>
    </row>
    <row r="169" spans="1:17" ht="32" customHeight="1">
      <c r="A169" s="8" t="s">
        <v>182</v>
      </c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6">
        <f>IF(L169="","",HYPERLINK(L169,"Open folder"))</f>
        <v/>
      </c>
      <c r="Q169" s="6">
        <f>IF(M169="","",HYPERLINK(M169,"Open dashboard"))</f>
        <v/>
      </c>
    </row>
    <row r="170" spans="1:17" ht="32" customHeight="1">
      <c r="A170" s="8" t="s">
        <v>183</v>
      </c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6">
        <f>IF(L170="","",HYPERLINK(L170,"Open folder"))</f>
        <v/>
      </c>
      <c r="Q170" s="6">
        <f>IF(M170="","",HYPERLINK(M170,"Open dashboard"))</f>
        <v/>
      </c>
    </row>
    <row r="171" spans="1:17" ht="32" customHeight="1">
      <c r="A171" s="8" t="s">
        <v>184</v>
      </c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6">
        <f>IF(L171="","",HYPERLINK(L171,"Open folder"))</f>
        <v/>
      </c>
      <c r="Q171" s="6">
        <f>IF(M171="","",HYPERLINK(M171,"Open dashboard"))</f>
        <v/>
      </c>
    </row>
    <row r="172" spans="1:17" ht="32" customHeight="1">
      <c r="A172" s="8" t="s">
        <v>185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6">
        <f>IF(L172="","",HYPERLINK(L172,"Open folder"))</f>
        <v/>
      </c>
      <c r="Q172" s="6">
        <f>IF(M172="","",HYPERLINK(M172,"Open dashboard"))</f>
        <v/>
      </c>
    </row>
    <row r="173" spans="1:17" ht="32" customHeight="1">
      <c r="A173" s="8" t="s">
        <v>186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6">
        <f>IF(L173="","",HYPERLINK(L173,"Open folder"))</f>
        <v/>
      </c>
      <c r="Q173" s="6">
        <f>IF(M173="","",HYPERLINK(M173,"Open dashboard"))</f>
        <v/>
      </c>
    </row>
    <row r="174" spans="1:17" ht="32" customHeight="1">
      <c r="A174" s="8" t="s">
        <v>187</v>
      </c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6">
        <f>IF(L174="","",HYPERLINK(L174,"Open folder"))</f>
        <v/>
      </c>
      <c r="Q174" s="6">
        <f>IF(M174="","",HYPERLINK(M174,"Open dashboard"))</f>
        <v/>
      </c>
    </row>
    <row r="175" spans="1:17" ht="32" customHeight="1">
      <c r="A175" s="8" t="s">
        <v>188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6">
        <f>IF(L175="","",HYPERLINK(L175,"Open folder"))</f>
        <v/>
      </c>
      <c r="Q175" s="6">
        <f>IF(M175="","",HYPERLINK(M175,"Open dashboard"))</f>
        <v/>
      </c>
    </row>
    <row r="176" spans="1:17" ht="32" customHeight="1">
      <c r="A176" s="8" t="s">
        <v>189</v>
      </c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6">
        <f>IF(L176="","",HYPERLINK(L176,"Open folder"))</f>
        <v/>
      </c>
      <c r="Q176" s="6">
        <f>IF(M176="","",HYPERLINK(M176,"Open dashboard"))</f>
        <v/>
      </c>
    </row>
    <row r="177" spans="1:17" ht="32" customHeight="1">
      <c r="A177" s="8" t="s">
        <v>190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6">
        <f>IF(L177="","",HYPERLINK(L177,"Open folder"))</f>
        <v/>
      </c>
      <c r="Q177" s="6">
        <f>IF(M177="","",HYPERLINK(M177,"Open dashboard"))</f>
        <v/>
      </c>
    </row>
    <row r="178" spans="1:17" ht="32" customHeight="1">
      <c r="A178" s="8" t="s">
        <v>191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6">
        <f>IF(L178="","",HYPERLINK(L178,"Open folder"))</f>
        <v/>
      </c>
      <c r="Q178" s="6">
        <f>IF(M178="","",HYPERLINK(M178,"Open dashboard"))</f>
        <v/>
      </c>
    </row>
    <row r="179" spans="1:17" ht="32" customHeight="1">
      <c r="A179" s="8" t="s">
        <v>192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6">
        <f>IF(L179="","",HYPERLINK(L179,"Open folder"))</f>
        <v/>
      </c>
      <c r="Q179" s="6">
        <f>IF(M179="","",HYPERLINK(M179,"Open dashboard"))</f>
        <v/>
      </c>
    </row>
    <row r="180" spans="1:17" ht="32" customHeight="1">
      <c r="A180" s="8" t="s">
        <v>193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6">
        <f>IF(L180="","",HYPERLINK(L180,"Open folder"))</f>
        <v/>
      </c>
      <c r="Q180" s="6">
        <f>IF(M180="","",HYPERLINK(M180,"Open dashboard"))</f>
        <v/>
      </c>
    </row>
    <row r="181" spans="1:17" ht="32" customHeight="1">
      <c r="A181" s="8" t="s">
        <v>194</v>
      </c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6">
        <f>IF(L181="","",HYPERLINK(L181,"Open folder"))</f>
        <v/>
      </c>
      <c r="Q181" s="6">
        <f>IF(M181="","",HYPERLINK(M181,"Open dashboard"))</f>
        <v/>
      </c>
    </row>
    <row r="182" spans="1:17" ht="32" customHeight="1">
      <c r="A182" s="8" t="s">
        <v>195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6">
        <f>IF(L182="","",HYPERLINK(L182,"Open folder"))</f>
        <v/>
      </c>
      <c r="Q182" s="6">
        <f>IF(M182="","",HYPERLINK(M182,"Open dashboard"))</f>
        <v/>
      </c>
    </row>
    <row r="183" spans="1:17" ht="32" customHeight="1">
      <c r="A183" s="8" t="s">
        <v>196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6">
        <f>IF(L183="","",HYPERLINK(L183,"Open folder"))</f>
        <v/>
      </c>
      <c r="Q183" s="6">
        <f>IF(M183="","",HYPERLINK(M183,"Open dashboard"))</f>
        <v/>
      </c>
    </row>
    <row r="184" spans="1:17" ht="32" customHeight="1">
      <c r="A184" s="8" t="s">
        <v>197</v>
      </c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6">
        <f>IF(L184="","",HYPERLINK(L184,"Open folder"))</f>
        <v/>
      </c>
      <c r="Q184" s="6">
        <f>IF(M184="","",HYPERLINK(M184,"Open dashboard"))</f>
        <v/>
      </c>
    </row>
    <row r="185" spans="1:17" ht="32" customHeight="1">
      <c r="A185" s="8" t="s">
        <v>198</v>
      </c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6">
        <f>IF(L185="","",HYPERLINK(L185,"Open folder"))</f>
        <v/>
      </c>
      <c r="Q185" s="6">
        <f>IF(M185="","",HYPERLINK(M185,"Open dashboard"))</f>
        <v/>
      </c>
    </row>
    <row r="186" spans="1:17" ht="32" customHeight="1">
      <c r="A186" s="8" t="s">
        <v>199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6">
        <f>IF(L186="","",HYPERLINK(L186,"Open folder"))</f>
        <v/>
      </c>
      <c r="Q186" s="6">
        <f>IF(M186="","",HYPERLINK(M186,"Open dashboard"))</f>
        <v/>
      </c>
    </row>
    <row r="187" spans="1:17" ht="32" customHeight="1">
      <c r="A187" s="8" t="s">
        <v>200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6">
        <f>IF(L187="","",HYPERLINK(L187,"Open folder"))</f>
        <v/>
      </c>
      <c r="Q187" s="6">
        <f>IF(M187="","",HYPERLINK(M187,"Open dashboard"))</f>
        <v/>
      </c>
    </row>
    <row r="188" spans="1:17" ht="32" customHeight="1">
      <c r="A188" s="8" t="s">
        <v>201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6">
        <f>IF(L188="","",HYPERLINK(L188,"Open folder"))</f>
        <v/>
      </c>
      <c r="Q188" s="6">
        <f>IF(M188="","",HYPERLINK(M188,"Open dashboard"))</f>
        <v/>
      </c>
    </row>
    <row r="189" spans="1:17" ht="32" customHeight="1">
      <c r="A189" s="8" t="s">
        <v>202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6">
        <f>IF(L189="","",HYPERLINK(L189,"Open folder"))</f>
        <v/>
      </c>
      <c r="Q189" s="6">
        <f>IF(M189="","",HYPERLINK(M189,"Open dashboard"))</f>
        <v/>
      </c>
    </row>
    <row r="190" spans="1:17" ht="32" customHeight="1">
      <c r="A190" s="8" t="s">
        <v>203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6">
        <f>IF(L190="","",HYPERLINK(L190,"Open folder"))</f>
        <v/>
      </c>
      <c r="Q190" s="6">
        <f>IF(M190="","",HYPERLINK(M190,"Open dashboard"))</f>
        <v/>
      </c>
    </row>
    <row r="191" spans="1:17" ht="32" customHeight="1">
      <c r="A191" s="8" t="s">
        <v>204</v>
      </c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6">
        <f>IF(L191="","",HYPERLINK(L191,"Open folder"))</f>
        <v/>
      </c>
      <c r="Q191" s="6">
        <f>IF(M191="","",HYPERLINK(M191,"Open dashboard"))</f>
        <v/>
      </c>
    </row>
    <row r="192" spans="1:17" ht="32" customHeight="1">
      <c r="A192" s="8" t="s">
        <v>205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6">
        <f>IF(L192="","",HYPERLINK(L192,"Open folder"))</f>
        <v/>
      </c>
      <c r="Q192" s="6">
        <f>IF(M192="","",HYPERLINK(M192,"Open dashboard"))</f>
        <v/>
      </c>
    </row>
    <row r="193" spans="1:17" ht="32" customHeight="1">
      <c r="A193" s="8" t="s">
        <v>206</v>
      </c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6">
        <f>IF(L193="","",HYPERLINK(L193,"Open folder"))</f>
        <v/>
      </c>
      <c r="Q193" s="6">
        <f>IF(M193="","",HYPERLINK(M193,"Open dashboard"))</f>
        <v/>
      </c>
    </row>
    <row r="194" spans="1:17" ht="32" customHeight="1">
      <c r="A194" s="8" t="s">
        <v>207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6">
        <f>IF(L194="","",HYPERLINK(L194,"Open folder"))</f>
        <v/>
      </c>
      <c r="Q194" s="6">
        <f>IF(M194="","",HYPERLINK(M194,"Open dashboard"))</f>
        <v/>
      </c>
    </row>
    <row r="195" spans="1:17" ht="32" customHeight="1">
      <c r="A195" s="8" t="s">
        <v>208</v>
      </c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6">
        <f>IF(L195="","",HYPERLINK(L195,"Open folder"))</f>
        <v/>
      </c>
      <c r="Q195" s="6">
        <f>IF(M195="","",HYPERLINK(M195,"Open dashboard"))</f>
        <v/>
      </c>
    </row>
    <row r="196" spans="1:17" ht="32" customHeight="1">
      <c r="A196" s="8" t="s">
        <v>209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6">
        <f>IF(L196="","",HYPERLINK(L196,"Open folder"))</f>
        <v/>
      </c>
      <c r="Q196" s="6">
        <f>IF(M196="","",HYPERLINK(M196,"Open dashboard"))</f>
        <v/>
      </c>
    </row>
    <row r="197" spans="1:17" ht="32" customHeight="1">
      <c r="A197" s="8" t="s">
        <v>210</v>
      </c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6">
        <f>IF(L197="","",HYPERLINK(L197,"Open folder"))</f>
        <v/>
      </c>
      <c r="Q197" s="6">
        <f>IF(M197="","",HYPERLINK(M197,"Open dashboard"))</f>
        <v/>
      </c>
    </row>
    <row r="198" spans="1:17" ht="32" customHeight="1">
      <c r="A198" s="8" t="s">
        <v>211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6">
        <f>IF(L198="","",HYPERLINK(L198,"Open folder"))</f>
        <v/>
      </c>
      <c r="Q198" s="6">
        <f>IF(M198="","",HYPERLINK(M198,"Open dashboard"))</f>
        <v/>
      </c>
    </row>
    <row r="199" spans="1:17" ht="32" customHeight="1">
      <c r="A199" s="8" t="s">
        <v>212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6">
        <f>IF(L199="","",HYPERLINK(L199,"Open folder"))</f>
        <v/>
      </c>
      <c r="Q199" s="6">
        <f>IF(M199="","",HYPERLINK(M199,"Open dashboard"))</f>
        <v/>
      </c>
    </row>
    <row r="200" spans="1:17" ht="32" customHeight="1">
      <c r="A200" s="8" t="s">
        <v>213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6">
        <f>IF(L200="","",HYPERLINK(L200,"Open folder"))</f>
        <v/>
      </c>
      <c r="Q200" s="6">
        <f>IF(M200="","",HYPERLINK(M200,"Open dashboard"))</f>
        <v/>
      </c>
    </row>
    <row r="201" spans="1:17" ht="32" customHeight="1">
      <c r="A201" s="8" t="s">
        <v>214</v>
      </c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6">
        <f>IF(L201="","",HYPERLINK(L201,"Open folder"))</f>
        <v/>
      </c>
      <c r="Q201" s="6">
        <f>IF(M201="","",HYPERLINK(M201,"Open dashboard"))</f>
        <v/>
      </c>
    </row>
    <row r="202" spans="1:17" ht="32" customHeight="1">
      <c r="A202" s="8" t="s">
        <v>215</v>
      </c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6">
        <f>IF(L202="","",HYPERLINK(L202,"Open folder"))</f>
        <v/>
      </c>
      <c r="Q202" s="6">
        <f>IF(M202="","",HYPERLINK(M202,"Open dashboard"))</f>
        <v/>
      </c>
    </row>
    <row r="203" spans="1:17" ht="32" customHeight="1">
      <c r="A203" s="8" t="s">
        <v>216</v>
      </c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6">
        <f>IF(L203="","",HYPERLINK(L203,"Open folder"))</f>
        <v/>
      </c>
      <c r="Q203" s="6">
        <f>IF(M203="","",HYPERLINK(M203,"Open dashboard"))</f>
        <v/>
      </c>
    </row>
    <row r="204" spans="1:17" ht="32" customHeight="1">
      <c r="A204" s="8" t="s">
        <v>217</v>
      </c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6">
        <f>IF(L204="","",HYPERLINK(L204,"Open folder"))</f>
        <v/>
      </c>
      <c r="Q204" s="6">
        <f>IF(M204="","",HYPERLINK(M204,"Open dashboard"))</f>
        <v/>
      </c>
    </row>
    <row r="205" spans="1:17" ht="32" customHeight="1">
      <c r="A205" s="8" t="s">
        <v>218</v>
      </c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6">
        <f>IF(L205="","",HYPERLINK(L205,"Open folder"))</f>
        <v/>
      </c>
      <c r="Q205" s="6">
        <f>IF(M205="","",HYPERLINK(M205,"Open dashboard"))</f>
        <v/>
      </c>
    </row>
  </sheetData>
  <mergeCells count="2">
    <mergeCell ref="A1:Q1"/>
    <mergeCell ref="A2:Q3"/>
  </mergeCells>
  <dataValidations count="2">
    <dataValidation type="list" allowBlank="1" showInputMessage="1" showErrorMessage="1" sqref="E6:E205">
      <formula1>"Template / not run,Simulation,Physical test"</formula1>
    </dataValidation>
    <dataValidation type="list" allowBlank="1" showInputMessage="1" showErrorMessage="1" sqref="F6:F205">
      <formula1>RunIDs</formula1>
    </dataValidation>
  </dataValidations>
  <pageMargins left="0.7" right="0.7" top="0.75" bottom="0.75" header="0.3" footer="0.3"/>
  <pageSetup paperSize="9"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7F7A"/>
    <pageSetUpPr fitToPage="1"/>
  </sheetPr>
  <dimension ref="A1:S205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5.7109375" customWidth="1"/>
    <col min="2" max="2" width="25.7109375" customWidth="1"/>
    <col min="3" max="16" width="23.7109375" customWidth="1"/>
    <col min="17" max="17" width="20.7109375" customWidth="1"/>
    <col min="18" max="19" width="26.7109375" customWidth="1"/>
  </cols>
  <sheetData>
    <row r="1" spans="1:19" ht="37" customHeight="1">
      <c r="A1" s="1" t="s">
        <v>223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4" customHeight="1">
      <c r="A2" s="2" t="s">
        <v>224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2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5" spans="1:19" ht="48" customHeight="1">
      <c r="A5" s="7" t="s">
        <v>2</v>
      </c>
      <c r="B5" s="7" t="s">
        <v>225</v>
      </c>
      <c r="C5" s="7" t="s">
        <v>226</v>
      </c>
      <c r="D5" s="7" t="s">
        <v>227</v>
      </c>
      <c r="E5" s="7" t="s">
        <v>228</v>
      </c>
      <c r="F5" s="7" t="s">
        <v>229</v>
      </c>
      <c r="G5" s="7" t="s">
        <v>230</v>
      </c>
      <c r="H5" s="7" t="s">
        <v>231</v>
      </c>
      <c r="I5" s="7" t="s">
        <v>232</v>
      </c>
      <c r="J5" s="7" t="s">
        <v>233</v>
      </c>
      <c r="K5" s="7" t="s">
        <v>234</v>
      </c>
      <c r="L5" s="7" t="s">
        <v>235</v>
      </c>
      <c r="M5" s="7" t="s">
        <v>236</v>
      </c>
      <c r="N5" s="7" t="s">
        <v>237</v>
      </c>
      <c r="O5" s="7" t="s">
        <v>238</v>
      </c>
      <c r="P5" s="7" t="s">
        <v>239</v>
      </c>
      <c r="Q5" s="7" t="s">
        <v>240</v>
      </c>
      <c r="R5" s="7" t="s">
        <v>241</v>
      </c>
      <c r="S5" s="7" t="s">
        <v>242</v>
      </c>
    </row>
    <row r="6" spans="1:19" ht="32" customHeight="1">
      <c r="A6" s="8" t="s">
        <v>19</v>
      </c>
      <c r="B6" s="9" t="s">
        <v>243</v>
      </c>
      <c r="C6" s="10">
        <v>420</v>
      </c>
      <c r="D6" s="10">
        <v>53</v>
      </c>
      <c r="E6" s="10">
        <v>76</v>
      </c>
      <c r="F6" s="10">
        <v>1100</v>
      </c>
      <c r="G6" s="10">
        <v>1.4</v>
      </c>
      <c r="H6" s="10">
        <v>1.47</v>
      </c>
      <c r="I6" s="10">
        <v>10000</v>
      </c>
      <c r="J6" s="10">
        <v>13000</v>
      </c>
      <c r="K6" s="10">
        <v>10000</v>
      </c>
      <c r="L6" s="10">
        <v>10000</v>
      </c>
      <c r="M6" s="10">
        <v>200000</v>
      </c>
      <c r="N6" s="10">
        <v>200000</v>
      </c>
      <c r="O6" s="10"/>
      <c r="P6" s="10"/>
      <c r="Q6" s="11">
        <f>IF(COUNT(G6:H6)&lt;2,"",G6+H6)</f>
        <v/>
      </c>
      <c r="R6" s="11">
        <f>IF(OR(COUNT(C6:E6,G6:H6)&lt;5,SUM(G6:H6)&lt;=0),"",9.81*(C6*H6/SUM(G6:H6)+D6))</f>
        <v/>
      </c>
      <c r="S6" s="11">
        <f>IF(OR(COUNT(C6:E6,G6:H6)&lt;5,SUM(G6:H6)&lt;=0),"",9.81*(C6*G6/SUM(G6:H6)+E6))</f>
        <v/>
      </c>
    </row>
    <row r="7" spans="1:19" ht="32" customHeight="1">
      <c r="A7" s="8" t="s">
        <v>20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1">
        <f>IF(COUNT(G7:H7)&lt;2,"",G7+H7)</f>
        <v/>
      </c>
      <c r="R7" s="11">
        <f>IF(OR(COUNT(C7:E7,G7:H7)&lt;5,SUM(G7:H7)&lt;=0),"",9.81*(C7*H7/SUM(G7:H7)+D7))</f>
        <v/>
      </c>
      <c r="S7" s="11">
        <f>IF(OR(COUNT(C7:E7,G7:H7)&lt;5,SUM(G7:H7)&lt;=0),"",9.81*(C7*G7/SUM(G7:H7)+E7))</f>
        <v/>
      </c>
    </row>
    <row r="8" spans="1:19" ht="32" customHeight="1">
      <c r="A8" s="8" t="s">
        <v>21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1">
        <f>IF(COUNT(G8:H8)&lt;2,"",G8+H8)</f>
        <v/>
      </c>
      <c r="R8" s="11">
        <f>IF(OR(COUNT(C8:E8,G8:H8)&lt;5,SUM(G8:H8)&lt;=0),"",9.81*(C8*H8/SUM(G8:H8)+D8))</f>
        <v/>
      </c>
      <c r="S8" s="11">
        <f>IF(OR(COUNT(C8:E8,G8:H8)&lt;5,SUM(G8:H8)&lt;=0),"",9.81*(C8*G8/SUM(G8:H8)+E8))</f>
        <v/>
      </c>
    </row>
    <row r="9" spans="1:19" ht="32" customHeight="1">
      <c r="A9" s="8" t="s">
        <v>22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>
        <f>IF(COUNT(G9:H9)&lt;2,"",G9+H9)</f>
        <v/>
      </c>
      <c r="R9" s="11">
        <f>IF(OR(COUNT(C9:E9,G9:H9)&lt;5,SUM(G9:H9)&lt;=0),"",9.81*(C9*H9/SUM(G9:H9)+D9))</f>
        <v/>
      </c>
      <c r="S9" s="11">
        <f>IF(OR(COUNT(C9:E9,G9:H9)&lt;5,SUM(G9:H9)&lt;=0),"",9.81*(C9*G9/SUM(G9:H9)+E9))</f>
        <v/>
      </c>
    </row>
    <row r="10" spans="1:19" ht="32" customHeight="1">
      <c r="A10" s="8" t="s">
        <v>23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1">
        <f>IF(COUNT(G10:H10)&lt;2,"",G10+H10)</f>
        <v/>
      </c>
      <c r="R10" s="11">
        <f>IF(OR(COUNT(C10:E10,G10:H10)&lt;5,SUM(G10:H10)&lt;=0),"",9.81*(C10*H10/SUM(G10:H10)+D10))</f>
        <v/>
      </c>
      <c r="S10" s="11">
        <f>IF(OR(COUNT(C10:E10,G10:H10)&lt;5,SUM(G10:H10)&lt;=0),"",9.81*(C10*G10/SUM(G10:H10)+E10))</f>
        <v/>
      </c>
    </row>
    <row r="11" spans="1:19" ht="32" customHeight="1">
      <c r="A11" s="8" t="s">
        <v>24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1">
        <f>IF(COUNT(G11:H11)&lt;2,"",G11+H11)</f>
        <v/>
      </c>
      <c r="R11" s="11">
        <f>IF(OR(COUNT(C11:E11,G11:H11)&lt;5,SUM(G11:H11)&lt;=0),"",9.81*(C11*H11/SUM(G11:H11)+D11))</f>
        <v/>
      </c>
      <c r="S11" s="11">
        <f>IF(OR(COUNT(C11:E11,G11:H11)&lt;5,SUM(G11:H11)&lt;=0),"",9.81*(C11*G11/SUM(G11:H11)+E11))</f>
        <v/>
      </c>
    </row>
    <row r="12" spans="1:19" ht="32" customHeight="1">
      <c r="A12" s="8" t="s">
        <v>25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1">
        <f>IF(COUNT(G12:H12)&lt;2,"",G12+H12)</f>
        <v/>
      </c>
      <c r="R12" s="11">
        <f>IF(OR(COUNT(C12:E12,G12:H12)&lt;5,SUM(G12:H12)&lt;=0),"",9.81*(C12*H12/SUM(G12:H12)+D12))</f>
        <v/>
      </c>
      <c r="S12" s="11">
        <f>IF(OR(COUNT(C12:E12,G12:H12)&lt;5,SUM(G12:H12)&lt;=0),"",9.81*(C12*G12/SUM(G12:H12)+E12))</f>
        <v/>
      </c>
    </row>
    <row r="13" spans="1:19" ht="32" customHeight="1">
      <c r="A13" s="8" t="s">
        <v>26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1">
        <f>IF(COUNT(G13:H13)&lt;2,"",G13+H13)</f>
        <v/>
      </c>
      <c r="R13" s="11">
        <f>IF(OR(COUNT(C13:E13,G13:H13)&lt;5,SUM(G13:H13)&lt;=0),"",9.81*(C13*H13/SUM(G13:H13)+D13))</f>
        <v/>
      </c>
      <c r="S13" s="11">
        <f>IF(OR(COUNT(C13:E13,G13:H13)&lt;5,SUM(G13:H13)&lt;=0),"",9.81*(C13*G13/SUM(G13:H13)+E13))</f>
        <v/>
      </c>
    </row>
    <row r="14" spans="1:19" ht="32" customHeight="1">
      <c r="A14" s="8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1">
        <f>IF(COUNT(G14:H14)&lt;2,"",G14+H14)</f>
        <v/>
      </c>
      <c r="R14" s="11">
        <f>IF(OR(COUNT(C14:E14,G14:H14)&lt;5,SUM(G14:H14)&lt;=0),"",9.81*(C14*H14/SUM(G14:H14)+D14))</f>
        <v/>
      </c>
      <c r="S14" s="11">
        <f>IF(OR(COUNT(C14:E14,G14:H14)&lt;5,SUM(G14:H14)&lt;=0),"",9.81*(C14*G14/SUM(G14:H14)+E14))</f>
        <v/>
      </c>
    </row>
    <row r="15" spans="1:19" ht="32" customHeight="1">
      <c r="A15" s="8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1">
        <f>IF(COUNT(G15:H15)&lt;2,"",G15+H15)</f>
        <v/>
      </c>
      <c r="R15" s="11">
        <f>IF(OR(COUNT(C15:E15,G15:H15)&lt;5,SUM(G15:H15)&lt;=0),"",9.81*(C15*H15/SUM(G15:H15)+D15))</f>
        <v/>
      </c>
      <c r="S15" s="11">
        <f>IF(OR(COUNT(C15:E15,G15:H15)&lt;5,SUM(G15:H15)&lt;=0),"",9.81*(C15*G15/SUM(G15:H15)+E15))</f>
        <v/>
      </c>
    </row>
    <row r="16" spans="1:19" ht="32" customHeight="1">
      <c r="A16" s="8" t="s">
        <v>29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1">
        <f>IF(COUNT(G16:H16)&lt;2,"",G16+H16)</f>
        <v/>
      </c>
      <c r="R16" s="11">
        <f>IF(OR(COUNT(C16:E16,G16:H16)&lt;5,SUM(G16:H16)&lt;=0),"",9.81*(C16*H16/SUM(G16:H16)+D16))</f>
        <v/>
      </c>
      <c r="S16" s="11">
        <f>IF(OR(COUNT(C16:E16,G16:H16)&lt;5,SUM(G16:H16)&lt;=0),"",9.81*(C16*G16/SUM(G16:H16)+E16))</f>
        <v/>
      </c>
    </row>
    <row r="17" spans="1:19" ht="32" customHeight="1">
      <c r="A17" s="8" t="s">
        <v>30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>
        <f>IF(COUNT(G17:H17)&lt;2,"",G17+H17)</f>
        <v/>
      </c>
      <c r="R17" s="11">
        <f>IF(OR(COUNT(C17:E17,G17:H17)&lt;5,SUM(G17:H17)&lt;=0),"",9.81*(C17*H17/SUM(G17:H17)+D17))</f>
        <v/>
      </c>
      <c r="S17" s="11">
        <f>IF(OR(COUNT(C17:E17,G17:H17)&lt;5,SUM(G17:H17)&lt;=0),"",9.81*(C17*G17/SUM(G17:H17)+E17))</f>
        <v/>
      </c>
    </row>
    <row r="18" spans="1:19" ht="32" customHeight="1">
      <c r="A18" s="8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1">
        <f>IF(COUNT(G18:H18)&lt;2,"",G18+H18)</f>
        <v/>
      </c>
      <c r="R18" s="11">
        <f>IF(OR(COUNT(C18:E18,G18:H18)&lt;5,SUM(G18:H18)&lt;=0),"",9.81*(C18*H18/SUM(G18:H18)+D18))</f>
        <v/>
      </c>
      <c r="S18" s="11">
        <f>IF(OR(COUNT(C18:E18,G18:H18)&lt;5,SUM(G18:H18)&lt;=0),"",9.81*(C18*G18/SUM(G18:H18)+E18))</f>
        <v/>
      </c>
    </row>
    <row r="19" spans="1:19" ht="32" customHeight="1">
      <c r="A19" s="8" t="s">
        <v>32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1">
        <f>IF(COUNT(G19:H19)&lt;2,"",G19+H19)</f>
        <v/>
      </c>
      <c r="R19" s="11">
        <f>IF(OR(COUNT(C19:E19,G19:H19)&lt;5,SUM(G19:H19)&lt;=0),"",9.81*(C19*H19/SUM(G19:H19)+D19))</f>
        <v/>
      </c>
      <c r="S19" s="11">
        <f>IF(OR(COUNT(C19:E19,G19:H19)&lt;5,SUM(G19:H19)&lt;=0),"",9.81*(C19*G19/SUM(G19:H19)+E19))</f>
        <v/>
      </c>
    </row>
    <row r="20" spans="1:19" ht="32" customHeight="1">
      <c r="A20" s="8" t="s">
        <v>33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1">
        <f>IF(COUNT(G20:H20)&lt;2,"",G20+H20)</f>
        <v/>
      </c>
      <c r="R20" s="11">
        <f>IF(OR(COUNT(C20:E20,G20:H20)&lt;5,SUM(G20:H20)&lt;=0),"",9.81*(C20*H20/SUM(G20:H20)+D20))</f>
        <v/>
      </c>
      <c r="S20" s="11">
        <f>IF(OR(COUNT(C20:E20,G20:H20)&lt;5,SUM(G20:H20)&lt;=0),"",9.81*(C20*G20/SUM(G20:H20)+E20))</f>
        <v/>
      </c>
    </row>
    <row r="21" spans="1:19" ht="32" customHeight="1">
      <c r="A21" s="8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1">
        <f>IF(COUNT(G21:H21)&lt;2,"",G21+H21)</f>
        <v/>
      </c>
      <c r="R21" s="11">
        <f>IF(OR(COUNT(C21:E21,G21:H21)&lt;5,SUM(G21:H21)&lt;=0),"",9.81*(C21*H21/SUM(G21:H21)+D21))</f>
        <v/>
      </c>
      <c r="S21" s="11">
        <f>IF(OR(COUNT(C21:E21,G21:H21)&lt;5,SUM(G21:H21)&lt;=0),"",9.81*(C21*G21/SUM(G21:H21)+E21))</f>
        <v/>
      </c>
    </row>
    <row r="22" spans="1:19" ht="32" customHeight="1">
      <c r="A22" s="8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1">
        <f>IF(COUNT(G22:H22)&lt;2,"",G22+H22)</f>
        <v/>
      </c>
      <c r="R22" s="11">
        <f>IF(OR(COUNT(C22:E22,G22:H22)&lt;5,SUM(G22:H22)&lt;=0),"",9.81*(C22*H22/SUM(G22:H22)+D22))</f>
        <v/>
      </c>
      <c r="S22" s="11">
        <f>IF(OR(COUNT(C22:E22,G22:H22)&lt;5,SUM(G22:H22)&lt;=0),"",9.81*(C22*G22/SUM(G22:H22)+E22))</f>
        <v/>
      </c>
    </row>
    <row r="23" spans="1:19" ht="32" customHeight="1">
      <c r="A23" s="8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1">
        <f>IF(COUNT(G23:H23)&lt;2,"",G23+H23)</f>
        <v/>
      </c>
      <c r="R23" s="11">
        <f>IF(OR(COUNT(C23:E23,G23:H23)&lt;5,SUM(G23:H23)&lt;=0),"",9.81*(C23*H23/SUM(G23:H23)+D23))</f>
        <v/>
      </c>
      <c r="S23" s="11">
        <f>IF(OR(COUNT(C23:E23,G23:H23)&lt;5,SUM(G23:H23)&lt;=0),"",9.81*(C23*G23/SUM(G23:H23)+E23))</f>
        <v/>
      </c>
    </row>
    <row r="24" spans="1:19" ht="32" customHeight="1">
      <c r="A24" s="8" t="s">
        <v>37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>
        <f>IF(COUNT(G24:H24)&lt;2,"",G24+H24)</f>
        <v/>
      </c>
      <c r="R24" s="11">
        <f>IF(OR(COUNT(C24:E24,G24:H24)&lt;5,SUM(G24:H24)&lt;=0),"",9.81*(C24*H24/SUM(G24:H24)+D24))</f>
        <v/>
      </c>
      <c r="S24" s="11">
        <f>IF(OR(COUNT(C24:E24,G24:H24)&lt;5,SUM(G24:H24)&lt;=0),"",9.81*(C24*G24/SUM(G24:H24)+E24))</f>
        <v/>
      </c>
    </row>
    <row r="25" spans="1:19" ht="32" customHeight="1">
      <c r="A25" s="8" t="s">
        <v>38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>
        <f>IF(COUNT(G25:H25)&lt;2,"",G25+H25)</f>
        <v/>
      </c>
      <c r="R25" s="11">
        <f>IF(OR(COUNT(C25:E25,G25:H25)&lt;5,SUM(G25:H25)&lt;=0),"",9.81*(C25*H25/SUM(G25:H25)+D25))</f>
        <v/>
      </c>
      <c r="S25" s="11">
        <f>IF(OR(COUNT(C25:E25,G25:H25)&lt;5,SUM(G25:H25)&lt;=0),"",9.81*(C25*G25/SUM(G25:H25)+E25))</f>
        <v/>
      </c>
    </row>
    <row r="26" spans="1:19" ht="32" customHeight="1">
      <c r="A26" s="8" t="s">
        <v>39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1">
        <f>IF(COUNT(G26:H26)&lt;2,"",G26+H26)</f>
        <v/>
      </c>
      <c r="R26" s="11">
        <f>IF(OR(COUNT(C26:E26,G26:H26)&lt;5,SUM(G26:H26)&lt;=0),"",9.81*(C26*H26/SUM(G26:H26)+D26))</f>
        <v/>
      </c>
      <c r="S26" s="11">
        <f>IF(OR(COUNT(C26:E26,G26:H26)&lt;5,SUM(G26:H26)&lt;=0),"",9.81*(C26*G26/SUM(G26:H26)+E26))</f>
        <v/>
      </c>
    </row>
    <row r="27" spans="1:19" ht="32" customHeight="1">
      <c r="A27" s="8" t="s">
        <v>40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1">
        <f>IF(COUNT(G27:H27)&lt;2,"",G27+H27)</f>
        <v/>
      </c>
      <c r="R27" s="11">
        <f>IF(OR(COUNT(C27:E27,G27:H27)&lt;5,SUM(G27:H27)&lt;=0),"",9.81*(C27*H27/SUM(G27:H27)+D27))</f>
        <v/>
      </c>
      <c r="S27" s="11">
        <f>IF(OR(COUNT(C27:E27,G27:H27)&lt;5,SUM(G27:H27)&lt;=0),"",9.81*(C27*G27/SUM(G27:H27)+E27))</f>
        <v/>
      </c>
    </row>
    <row r="28" spans="1:19" ht="32" customHeight="1">
      <c r="A28" s="8" t="s">
        <v>41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1">
        <f>IF(COUNT(G28:H28)&lt;2,"",G28+H28)</f>
        <v/>
      </c>
      <c r="R28" s="11">
        <f>IF(OR(COUNT(C28:E28,G28:H28)&lt;5,SUM(G28:H28)&lt;=0),"",9.81*(C28*H28/SUM(G28:H28)+D28))</f>
        <v/>
      </c>
      <c r="S28" s="11">
        <f>IF(OR(COUNT(C28:E28,G28:H28)&lt;5,SUM(G28:H28)&lt;=0),"",9.81*(C28*G28/SUM(G28:H28)+E28))</f>
        <v/>
      </c>
    </row>
    <row r="29" spans="1:19" ht="32" customHeight="1">
      <c r="A29" s="8" t="s">
        <v>42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1">
        <f>IF(COUNT(G29:H29)&lt;2,"",G29+H29)</f>
        <v/>
      </c>
      <c r="R29" s="11">
        <f>IF(OR(COUNT(C29:E29,G29:H29)&lt;5,SUM(G29:H29)&lt;=0),"",9.81*(C29*H29/SUM(G29:H29)+D29))</f>
        <v/>
      </c>
      <c r="S29" s="11">
        <f>IF(OR(COUNT(C29:E29,G29:H29)&lt;5,SUM(G29:H29)&lt;=0),"",9.81*(C29*G29/SUM(G29:H29)+E29))</f>
        <v/>
      </c>
    </row>
    <row r="30" spans="1:19" ht="32" customHeight="1">
      <c r="A30" s="8" t="s">
        <v>43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1">
        <f>IF(COUNT(G30:H30)&lt;2,"",G30+H30)</f>
        <v/>
      </c>
      <c r="R30" s="11">
        <f>IF(OR(COUNT(C30:E30,G30:H30)&lt;5,SUM(G30:H30)&lt;=0),"",9.81*(C30*H30/SUM(G30:H30)+D30))</f>
        <v/>
      </c>
      <c r="S30" s="11">
        <f>IF(OR(COUNT(C30:E30,G30:H30)&lt;5,SUM(G30:H30)&lt;=0),"",9.81*(C30*G30/SUM(G30:H30)+E30))</f>
        <v/>
      </c>
    </row>
    <row r="31" spans="1:19" ht="32" customHeight="1">
      <c r="A31" s="8" t="s">
        <v>44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1">
        <f>IF(COUNT(G31:H31)&lt;2,"",G31+H31)</f>
        <v/>
      </c>
      <c r="R31" s="11">
        <f>IF(OR(COUNT(C31:E31,G31:H31)&lt;5,SUM(G31:H31)&lt;=0),"",9.81*(C31*H31/SUM(G31:H31)+D31))</f>
        <v/>
      </c>
      <c r="S31" s="11">
        <f>IF(OR(COUNT(C31:E31,G31:H31)&lt;5,SUM(G31:H31)&lt;=0),"",9.81*(C31*G31/SUM(G31:H31)+E31))</f>
        <v/>
      </c>
    </row>
    <row r="32" spans="1:19" ht="32" customHeight="1">
      <c r="A32" s="8" t="s">
        <v>45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1">
        <f>IF(COUNT(G32:H32)&lt;2,"",G32+H32)</f>
        <v/>
      </c>
      <c r="R32" s="11">
        <f>IF(OR(COUNT(C32:E32,G32:H32)&lt;5,SUM(G32:H32)&lt;=0),"",9.81*(C32*H32/SUM(G32:H32)+D32))</f>
        <v/>
      </c>
      <c r="S32" s="11">
        <f>IF(OR(COUNT(C32:E32,G32:H32)&lt;5,SUM(G32:H32)&lt;=0),"",9.81*(C32*G32/SUM(G32:H32)+E32))</f>
        <v/>
      </c>
    </row>
    <row r="33" spans="1:19" ht="32" customHeight="1">
      <c r="A33" s="8" t="s">
        <v>46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1">
        <f>IF(COUNT(G33:H33)&lt;2,"",G33+H33)</f>
        <v/>
      </c>
      <c r="R33" s="11">
        <f>IF(OR(COUNT(C33:E33,G33:H33)&lt;5,SUM(G33:H33)&lt;=0),"",9.81*(C33*H33/SUM(G33:H33)+D33))</f>
        <v/>
      </c>
      <c r="S33" s="11">
        <f>IF(OR(COUNT(C33:E33,G33:H33)&lt;5,SUM(G33:H33)&lt;=0),"",9.81*(C33*G33/SUM(G33:H33)+E33))</f>
        <v/>
      </c>
    </row>
    <row r="34" spans="1:19" ht="32" customHeight="1">
      <c r="A34" s="8" t="s">
        <v>47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1">
        <f>IF(COUNT(G34:H34)&lt;2,"",G34+H34)</f>
        <v/>
      </c>
      <c r="R34" s="11">
        <f>IF(OR(COUNT(C34:E34,G34:H34)&lt;5,SUM(G34:H34)&lt;=0),"",9.81*(C34*H34/SUM(G34:H34)+D34))</f>
        <v/>
      </c>
      <c r="S34" s="11">
        <f>IF(OR(COUNT(C34:E34,G34:H34)&lt;5,SUM(G34:H34)&lt;=0),"",9.81*(C34*G34/SUM(G34:H34)+E34))</f>
        <v/>
      </c>
    </row>
    <row r="35" spans="1:19" ht="32" customHeight="1">
      <c r="A35" s="8" t="s">
        <v>48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1">
        <f>IF(COUNT(G35:H35)&lt;2,"",G35+H35)</f>
        <v/>
      </c>
      <c r="R35" s="11">
        <f>IF(OR(COUNT(C35:E35,G35:H35)&lt;5,SUM(G35:H35)&lt;=0),"",9.81*(C35*H35/SUM(G35:H35)+D35))</f>
        <v/>
      </c>
      <c r="S35" s="11">
        <f>IF(OR(COUNT(C35:E35,G35:H35)&lt;5,SUM(G35:H35)&lt;=0),"",9.81*(C35*G35/SUM(G35:H35)+E35))</f>
        <v/>
      </c>
    </row>
    <row r="36" spans="1:19" ht="32" customHeight="1">
      <c r="A36" s="8" t="s">
        <v>49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1">
        <f>IF(COUNT(G36:H36)&lt;2,"",G36+H36)</f>
        <v/>
      </c>
      <c r="R36" s="11">
        <f>IF(OR(COUNT(C36:E36,G36:H36)&lt;5,SUM(G36:H36)&lt;=0),"",9.81*(C36*H36/SUM(G36:H36)+D36))</f>
        <v/>
      </c>
      <c r="S36" s="11">
        <f>IF(OR(COUNT(C36:E36,G36:H36)&lt;5,SUM(G36:H36)&lt;=0),"",9.81*(C36*G36/SUM(G36:H36)+E36))</f>
        <v/>
      </c>
    </row>
    <row r="37" spans="1:19" ht="32" customHeight="1">
      <c r="A37" s="8" t="s">
        <v>50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1">
        <f>IF(COUNT(G37:H37)&lt;2,"",G37+H37)</f>
        <v/>
      </c>
      <c r="R37" s="11">
        <f>IF(OR(COUNT(C37:E37,G37:H37)&lt;5,SUM(G37:H37)&lt;=0),"",9.81*(C37*H37/SUM(G37:H37)+D37))</f>
        <v/>
      </c>
      <c r="S37" s="11">
        <f>IF(OR(COUNT(C37:E37,G37:H37)&lt;5,SUM(G37:H37)&lt;=0),"",9.81*(C37*G37/SUM(G37:H37)+E37))</f>
        <v/>
      </c>
    </row>
    <row r="38" spans="1:19" ht="32" customHeight="1">
      <c r="A38" s="8" t="s">
        <v>51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1">
        <f>IF(COUNT(G38:H38)&lt;2,"",G38+H38)</f>
        <v/>
      </c>
      <c r="R38" s="11">
        <f>IF(OR(COUNT(C38:E38,G38:H38)&lt;5,SUM(G38:H38)&lt;=0),"",9.81*(C38*H38/SUM(G38:H38)+D38))</f>
        <v/>
      </c>
      <c r="S38" s="11">
        <f>IF(OR(COUNT(C38:E38,G38:H38)&lt;5,SUM(G38:H38)&lt;=0),"",9.81*(C38*G38/SUM(G38:H38)+E38))</f>
        <v/>
      </c>
    </row>
    <row r="39" spans="1:19" ht="32" customHeight="1">
      <c r="A39" s="8" t="s">
        <v>52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1">
        <f>IF(COUNT(G39:H39)&lt;2,"",G39+H39)</f>
        <v/>
      </c>
      <c r="R39" s="11">
        <f>IF(OR(COUNT(C39:E39,G39:H39)&lt;5,SUM(G39:H39)&lt;=0),"",9.81*(C39*H39/SUM(G39:H39)+D39))</f>
        <v/>
      </c>
      <c r="S39" s="11">
        <f>IF(OR(COUNT(C39:E39,G39:H39)&lt;5,SUM(G39:H39)&lt;=0),"",9.81*(C39*G39/SUM(G39:H39)+E39))</f>
        <v/>
      </c>
    </row>
    <row r="40" spans="1:19" ht="32" customHeight="1">
      <c r="A40" s="8" t="s">
        <v>53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1">
        <f>IF(COUNT(G40:H40)&lt;2,"",G40+H40)</f>
        <v/>
      </c>
      <c r="R40" s="11">
        <f>IF(OR(COUNT(C40:E40,G40:H40)&lt;5,SUM(G40:H40)&lt;=0),"",9.81*(C40*H40/SUM(G40:H40)+D40))</f>
        <v/>
      </c>
      <c r="S40" s="11">
        <f>IF(OR(COUNT(C40:E40,G40:H40)&lt;5,SUM(G40:H40)&lt;=0),"",9.81*(C40*G40/SUM(G40:H40)+E40))</f>
        <v/>
      </c>
    </row>
    <row r="41" spans="1:19" ht="32" customHeight="1">
      <c r="A41" s="8" t="s">
        <v>54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1">
        <f>IF(COUNT(G41:H41)&lt;2,"",G41+H41)</f>
        <v/>
      </c>
      <c r="R41" s="11">
        <f>IF(OR(COUNT(C41:E41,G41:H41)&lt;5,SUM(G41:H41)&lt;=0),"",9.81*(C41*H41/SUM(G41:H41)+D41))</f>
        <v/>
      </c>
      <c r="S41" s="11">
        <f>IF(OR(COUNT(C41:E41,G41:H41)&lt;5,SUM(G41:H41)&lt;=0),"",9.81*(C41*G41/SUM(G41:H41)+E41))</f>
        <v/>
      </c>
    </row>
    <row r="42" spans="1:19" ht="32" customHeight="1">
      <c r="A42" s="8" t="s">
        <v>55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1">
        <f>IF(COUNT(G42:H42)&lt;2,"",G42+H42)</f>
        <v/>
      </c>
      <c r="R42" s="11">
        <f>IF(OR(COUNT(C42:E42,G42:H42)&lt;5,SUM(G42:H42)&lt;=0),"",9.81*(C42*H42/SUM(G42:H42)+D42))</f>
        <v/>
      </c>
      <c r="S42" s="11">
        <f>IF(OR(COUNT(C42:E42,G42:H42)&lt;5,SUM(G42:H42)&lt;=0),"",9.81*(C42*G42/SUM(G42:H42)+E42))</f>
        <v/>
      </c>
    </row>
    <row r="43" spans="1:19" ht="32" customHeight="1">
      <c r="A43" s="8" t="s">
        <v>56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1">
        <f>IF(COUNT(G43:H43)&lt;2,"",G43+H43)</f>
        <v/>
      </c>
      <c r="R43" s="11">
        <f>IF(OR(COUNT(C43:E43,G43:H43)&lt;5,SUM(G43:H43)&lt;=0),"",9.81*(C43*H43/SUM(G43:H43)+D43))</f>
        <v/>
      </c>
      <c r="S43" s="11">
        <f>IF(OR(COUNT(C43:E43,G43:H43)&lt;5,SUM(G43:H43)&lt;=0),"",9.81*(C43*G43/SUM(G43:H43)+E43))</f>
        <v/>
      </c>
    </row>
    <row r="44" spans="1:19" ht="32" customHeight="1">
      <c r="A44" s="8" t="s">
        <v>57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1">
        <f>IF(COUNT(G44:H44)&lt;2,"",G44+H44)</f>
        <v/>
      </c>
      <c r="R44" s="11">
        <f>IF(OR(COUNT(C44:E44,G44:H44)&lt;5,SUM(G44:H44)&lt;=0),"",9.81*(C44*H44/SUM(G44:H44)+D44))</f>
        <v/>
      </c>
      <c r="S44" s="11">
        <f>IF(OR(COUNT(C44:E44,G44:H44)&lt;5,SUM(G44:H44)&lt;=0),"",9.81*(C44*G44/SUM(G44:H44)+E44))</f>
        <v/>
      </c>
    </row>
    <row r="45" spans="1:19" ht="32" customHeight="1">
      <c r="A45" s="8" t="s">
        <v>58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1">
        <f>IF(COUNT(G45:H45)&lt;2,"",G45+H45)</f>
        <v/>
      </c>
      <c r="R45" s="11">
        <f>IF(OR(COUNT(C45:E45,G45:H45)&lt;5,SUM(G45:H45)&lt;=0),"",9.81*(C45*H45/SUM(G45:H45)+D45))</f>
        <v/>
      </c>
      <c r="S45" s="11">
        <f>IF(OR(COUNT(C45:E45,G45:H45)&lt;5,SUM(G45:H45)&lt;=0),"",9.81*(C45*G45/SUM(G45:H45)+E45))</f>
        <v/>
      </c>
    </row>
    <row r="46" spans="1:19" ht="32" customHeight="1">
      <c r="A46" s="8" t="s">
        <v>59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1">
        <f>IF(COUNT(G46:H46)&lt;2,"",G46+H46)</f>
        <v/>
      </c>
      <c r="R46" s="11">
        <f>IF(OR(COUNT(C46:E46,G46:H46)&lt;5,SUM(G46:H46)&lt;=0),"",9.81*(C46*H46/SUM(G46:H46)+D46))</f>
        <v/>
      </c>
      <c r="S46" s="11">
        <f>IF(OR(COUNT(C46:E46,G46:H46)&lt;5,SUM(G46:H46)&lt;=0),"",9.81*(C46*G46/SUM(G46:H46)+E46))</f>
        <v/>
      </c>
    </row>
    <row r="47" spans="1:19" ht="32" customHeight="1">
      <c r="A47" s="8" t="s">
        <v>60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1">
        <f>IF(COUNT(G47:H47)&lt;2,"",G47+H47)</f>
        <v/>
      </c>
      <c r="R47" s="11">
        <f>IF(OR(COUNT(C47:E47,G47:H47)&lt;5,SUM(G47:H47)&lt;=0),"",9.81*(C47*H47/SUM(G47:H47)+D47))</f>
        <v/>
      </c>
      <c r="S47" s="11">
        <f>IF(OR(COUNT(C47:E47,G47:H47)&lt;5,SUM(G47:H47)&lt;=0),"",9.81*(C47*G47/SUM(G47:H47)+E47))</f>
        <v/>
      </c>
    </row>
    <row r="48" spans="1:19" ht="32" customHeight="1">
      <c r="A48" s="8" t="s">
        <v>61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1">
        <f>IF(COUNT(G48:H48)&lt;2,"",G48+H48)</f>
        <v/>
      </c>
      <c r="R48" s="11">
        <f>IF(OR(COUNT(C48:E48,G48:H48)&lt;5,SUM(G48:H48)&lt;=0),"",9.81*(C48*H48/SUM(G48:H48)+D48))</f>
        <v/>
      </c>
      <c r="S48" s="11">
        <f>IF(OR(COUNT(C48:E48,G48:H48)&lt;5,SUM(G48:H48)&lt;=0),"",9.81*(C48*G48/SUM(G48:H48)+E48))</f>
        <v/>
      </c>
    </row>
    <row r="49" spans="1:19" ht="32" customHeight="1">
      <c r="A49" s="8" t="s">
        <v>62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1">
        <f>IF(COUNT(G49:H49)&lt;2,"",G49+H49)</f>
        <v/>
      </c>
      <c r="R49" s="11">
        <f>IF(OR(COUNT(C49:E49,G49:H49)&lt;5,SUM(G49:H49)&lt;=0),"",9.81*(C49*H49/SUM(G49:H49)+D49))</f>
        <v/>
      </c>
      <c r="S49" s="11">
        <f>IF(OR(COUNT(C49:E49,G49:H49)&lt;5,SUM(G49:H49)&lt;=0),"",9.81*(C49*G49/SUM(G49:H49)+E49))</f>
        <v/>
      </c>
    </row>
    <row r="50" spans="1:19" ht="32" customHeight="1">
      <c r="A50" s="8" t="s">
        <v>63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1">
        <f>IF(COUNT(G50:H50)&lt;2,"",G50+H50)</f>
        <v/>
      </c>
      <c r="R50" s="11">
        <f>IF(OR(COUNT(C50:E50,G50:H50)&lt;5,SUM(G50:H50)&lt;=0),"",9.81*(C50*H50/SUM(G50:H50)+D50))</f>
        <v/>
      </c>
      <c r="S50" s="11">
        <f>IF(OR(COUNT(C50:E50,G50:H50)&lt;5,SUM(G50:H50)&lt;=0),"",9.81*(C50*G50/SUM(G50:H50)+E50))</f>
        <v/>
      </c>
    </row>
    <row r="51" spans="1:19" ht="32" customHeight="1">
      <c r="A51" s="8" t="s">
        <v>64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1">
        <f>IF(COUNT(G51:H51)&lt;2,"",G51+H51)</f>
        <v/>
      </c>
      <c r="R51" s="11">
        <f>IF(OR(COUNT(C51:E51,G51:H51)&lt;5,SUM(G51:H51)&lt;=0),"",9.81*(C51*H51/SUM(G51:H51)+D51))</f>
        <v/>
      </c>
      <c r="S51" s="11">
        <f>IF(OR(COUNT(C51:E51,G51:H51)&lt;5,SUM(G51:H51)&lt;=0),"",9.81*(C51*G51/SUM(G51:H51)+E51))</f>
        <v/>
      </c>
    </row>
    <row r="52" spans="1:19" ht="32" customHeight="1">
      <c r="A52" s="8" t="s">
        <v>65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1">
        <f>IF(COUNT(G52:H52)&lt;2,"",G52+H52)</f>
        <v/>
      </c>
      <c r="R52" s="11">
        <f>IF(OR(COUNT(C52:E52,G52:H52)&lt;5,SUM(G52:H52)&lt;=0),"",9.81*(C52*H52/SUM(G52:H52)+D52))</f>
        <v/>
      </c>
      <c r="S52" s="11">
        <f>IF(OR(COUNT(C52:E52,G52:H52)&lt;5,SUM(G52:H52)&lt;=0),"",9.81*(C52*G52/SUM(G52:H52)+E52))</f>
        <v/>
      </c>
    </row>
    <row r="53" spans="1:19" ht="32" customHeight="1">
      <c r="A53" s="8" t="s">
        <v>66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1">
        <f>IF(COUNT(G53:H53)&lt;2,"",G53+H53)</f>
        <v/>
      </c>
      <c r="R53" s="11">
        <f>IF(OR(COUNT(C53:E53,G53:H53)&lt;5,SUM(G53:H53)&lt;=0),"",9.81*(C53*H53/SUM(G53:H53)+D53))</f>
        <v/>
      </c>
      <c r="S53" s="11">
        <f>IF(OR(COUNT(C53:E53,G53:H53)&lt;5,SUM(G53:H53)&lt;=0),"",9.81*(C53*G53/SUM(G53:H53)+E53))</f>
        <v/>
      </c>
    </row>
    <row r="54" spans="1:19" ht="32" customHeight="1">
      <c r="A54" s="8" t="s">
        <v>67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1">
        <f>IF(COUNT(G54:H54)&lt;2,"",G54+H54)</f>
        <v/>
      </c>
      <c r="R54" s="11">
        <f>IF(OR(COUNT(C54:E54,G54:H54)&lt;5,SUM(G54:H54)&lt;=0),"",9.81*(C54*H54/SUM(G54:H54)+D54))</f>
        <v/>
      </c>
      <c r="S54" s="11">
        <f>IF(OR(COUNT(C54:E54,G54:H54)&lt;5,SUM(G54:H54)&lt;=0),"",9.81*(C54*G54/SUM(G54:H54)+E54))</f>
        <v/>
      </c>
    </row>
    <row r="55" spans="1:19" ht="32" customHeight="1">
      <c r="A55" s="8" t="s">
        <v>68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1">
        <f>IF(COUNT(G55:H55)&lt;2,"",G55+H55)</f>
        <v/>
      </c>
      <c r="R55" s="11">
        <f>IF(OR(COUNT(C55:E55,G55:H55)&lt;5,SUM(G55:H55)&lt;=0),"",9.81*(C55*H55/SUM(G55:H55)+D55))</f>
        <v/>
      </c>
      <c r="S55" s="11">
        <f>IF(OR(COUNT(C55:E55,G55:H55)&lt;5,SUM(G55:H55)&lt;=0),"",9.81*(C55*G55/SUM(G55:H55)+E55))</f>
        <v/>
      </c>
    </row>
    <row r="56" spans="1:19" ht="32" customHeight="1">
      <c r="A56" s="8" t="s">
        <v>69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1">
        <f>IF(COUNT(G56:H56)&lt;2,"",G56+H56)</f>
        <v/>
      </c>
      <c r="R56" s="11">
        <f>IF(OR(COUNT(C56:E56,G56:H56)&lt;5,SUM(G56:H56)&lt;=0),"",9.81*(C56*H56/SUM(G56:H56)+D56))</f>
        <v/>
      </c>
      <c r="S56" s="11">
        <f>IF(OR(COUNT(C56:E56,G56:H56)&lt;5,SUM(G56:H56)&lt;=0),"",9.81*(C56*G56/SUM(G56:H56)+E56))</f>
        <v/>
      </c>
    </row>
    <row r="57" spans="1:19" ht="32" customHeight="1">
      <c r="A57" s="8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1">
        <f>IF(COUNT(G57:H57)&lt;2,"",G57+H57)</f>
        <v/>
      </c>
      <c r="R57" s="11">
        <f>IF(OR(COUNT(C57:E57,G57:H57)&lt;5,SUM(G57:H57)&lt;=0),"",9.81*(C57*H57/SUM(G57:H57)+D57))</f>
        <v/>
      </c>
      <c r="S57" s="11">
        <f>IF(OR(COUNT(C57:E57,G57:H57)&lt;5,SUM(G57:H57)&lt;=0),"",9.81*(C57*G57/SUM(G57:H57)+E57))</f>
        <v/>
      </c>
    </row>
    <row r="58" spans="1:19" ht="32" customHeight="1">
      <c r="A58" s="8" t="s">
        <v>71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1">
        <f>IF(COUNT(G58:H58)&lt;2,"",G58+H58)</f>
        <v/>
      </c>
      <c r="R58" s="11">
        <f>IF(OR(COUNT(C58:E58,G58:H58)&lt;5,SUM(G58:H58)&lt;=0),"",9.81*(C58*H58/SUM(G58:H58)+D58))</f>
        <v/>
      </c>
      <c r="S58" s="11">
        <f>IF(OR(COUNT(C58:E58,G58:H58)&lt;5,SUM(G58:H58)&lt;=0),"",9.81*(C58*G58/SUM(G58:H58)+E58))</f>
        <v/>
      </c>
    </row>
    <row r="59" spans="1:19" ht="32" customHeight="1">
      <c r="A59" s="8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1">
        <f>IF(COUNT(G59:H59)&lt;2,"",G59+H59)</f>
        <v/>
      </c>
      <c r="R59" s="11">
        <f>IF(OR(COUNT(C59:E59,G59:H59)&lt;5,SUM(G59:H59)&lt;=0),"",9.81*(C59*H59/SUM(G59:H59)+D59))</f>
        <v/>
      </c>
      <c r="S59" s="11">
        <f>IF(OR(COUNT(C59:E59,G59:H59)&lt;5,SUM(G59:H59)&lt;=0),"",9.81*(C59*G59/SUM(G59:H59)+E59))</f>
        <v/>
      </c>
    </row>
    <row r="60" spans="1:19" ht="32" customHeight="1">
      <c r="A60" s="8" t="s">
        <v>73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1">
        <f>IF(COUNT(G60:H60)&lt;2,"",G60+H60)</f>
        <v/>
      </c>
      <c r="R60" s="11">
        <f>IF(OR(COUNT(C60:E60,G60:H60)&lt;5,SUM(G60:H60)&lt;=0),"",9.81*(C60*H60/SUM(G60:H60)+D60))</f>
        <v/>
      </c>
      <c r="S60" s="11">
        <f>IF(OR(COUNT(C60:E60,G60:H60)&lt;5,SUM(G60:H60)&lt;=0),"",9.81*(C60*G60/SUM(G60:H60)+E60))</f>
        <v/>
      </c>
    </row>
    <row r="61" spans="1:19" ht="32" customHeight="1">
      <c r="A61" s="8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1">
        <f>IF(COUNT(G61:H61)&lt;2,"",G61+H61)</f>
        <v/>
      </c>
      <c r="R61" s="11">
        <f>IF(OR(COUNT(C61:E61,G61:H61)&lt;5,SUM(G61:H61)&lt;=0),"",9.81*(C61*H61/SUM(G61:H61)+D61))</f>
        <v/>
      </c>
      <c r="S61" s="11">
        <f>IF(OR(COUNT(C61:E61,G61:H61)&lt;5,SUM(G61:H61)&lt;=0),"",9.81*(C61*G61/SUM(G61:H61)+E61))</f>
        <v/>
      </c>
    </row>
    <row r="62" spans="1:19" ht="32" customHeight="1">
      <c r="A62" s="8" t="s">
        <v>75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1">
        <f>IF(COUNT(G62:H62)&lt;2,"",G62+H62)</f>
        <v/>
      </c>
      <c r="R62" s="11">
        <f>IF(OR(COUNT(C62:E62,G62:H62)&lt;5,SUM(G62:H62)&lt;=0),"",9.81*(C62*H62/SUM(G62:H62)+D62))</f>
        <v/>
      </c>
      <c r="S62" s="11">
        <f>IF(OR(COUNT(C62:E62,G62:H62)&lt;5,SUM(G62:H62)&lt;=0),"",9.81*(C62*G62/SUM(G62:H62)+E62))</f>
        <v/>
      </c>
    </row>
    <row r="63" spans="1:19" ht="32" customHeight="1">
      <c r="A63" s="8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1">
        <f>IF(COUNT(G63:H63)&lt;2,"",G63+H63)</f>
        <v/>
      </c>
      <c r="R63" s="11">
        <f>IF(OR(COUNT(C63:E63,G63:H63)&lt;5,SUM(G63:H63)&lt;=0),"",9.81*(C63*H63/SUM(G63:H63)+D63))</f>
        <v/>
      </c>
      <c r="S63" s="11">
        <f>IF(OR(COUNT(C63:E63,G63:H63)&lt;5,SUM(G63:H63)&lt;=0),"",9.81*(C63*G63/SUM(G63:H63)+E63))</f>
        <v/>
      </c>
    </row>
    <row r="64" spans="1:19" ht="32" customHeight="1">
      <c r="A64" s="8" t="s">
        <v>77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1">
        <f>IF(COUNT(G64:H64)&lt;2,"",G64+H64)</f>
        <v/>
      </c>
      <c r="R64" s="11">
        <f>IF(OR(COUNT(C64:E64,G64:H64)&lt;5,SUM(G64:H64)&lt;=0),"",9.81*(C64*H64/SUM(G64:H64)+D64))</f>
        <v/>
      </c>
      <c r="S64" s="11">
        <f>IF(OR(COUNT(C64:E64,G64:H64)&lt;5,SUM(G64:H64)&lt;=0),"",9.81*(C64*G64/SUM(G64:H64)+E64))</f>
        <v/>
      </c>
    </row>
    <row r="65" spans="1:19" ht="32" customHeight="1">
      <c r="A65" s="8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1">
        <f>IF(COUNT(G65:H65)&lt;2,"",G65+H65)</f>
        <v/>
      </c>
      <c r="R65" s="11">
        <f>IF(OR(COUNT(C65:E65,G65:H65)&lt;5,SUM(G65:H65)&lt;=0),"",9.81*(C65*H65/SUM(G65:H65)+D65))</f>
        <v/>
      </c>
      <c r="S65" s="11">
        <f>IF(OR(COUNT(C65:E65,G65:H65)&lt;5,SUM(G65:H65)&lt;=0),"",9.81*(C65*G65/SUM(G65:H65)+E65))</f>
        <v/>
      </c>
    </row>
    <row r="66" spans="1:19" ht="32" customHeight="1">
      <c r="A66" s="8" t="s">
        <v>79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1">
        <f>IF(COUNT(G66:H66)&lt;2,"",G66+H66)</f>
        <v/>
      </c>
      <c r="R66" s="11">
        <f>IF(OR(COUNT(C66:E66,G66:H66)&lt;5,SUM(G66:H66)&lt;=0),"",9.81*(C66*H66/SUM(G66:H66)+D66))</f>
        <v/>
      </c>
      <c r="S66" s="11">
        <f>IF(OR(COUNT(C66:E66,G66:H66)&lt;5,SUM(G66:H66)&lt;=0),"",9.81*(C66*G66/SUM(G66:H66)+E66))</f>
        <v/>
      </c>
    </row>
    <row r="67" spans="1:19" ht="32" customHeight="1">
      <c r="A67" s="8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1">
        <f>IF(COUNT(G67:H67)&lt;2,"",G67+H67)</f>
        <v/>
      </c>
      <c r="R67" s="11">
        <f>IF(OR(COUNT(C67:E67,G67:H67)&lt;5,SUM(G67:H67)&lt;=0),"",9.81*(C67*H67/SUM(G67:H67)+D67))</f>
        <v/>
      </c>
      <c r="S67" s="11">
        <f>IF(OR(COUNT(C67:E67,G67:H67)&lt;5,SUM(G67:H67)&lt;=0),"",9.81*(C67*G67/SUM(G67:H67)+E67))</f>
        <v/>
      </c>
    </row>
    <row r="68" spans="1:19" ht="32" customHeight="1">
      <c r="A68" s="8" t="s">
        <v>81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1">
        <f>IF(COUNT(G68:H68)&lt;2,"",G68+H68)</f>
        <v/>
      </c>
      <c r="R68" s="11">
        <f>IF(OR(COUNT(C68:E68,G68:H68)&lt;5,SUM(G68:H68)&lt;=0),"",9.81*(C68*H68/SUM(G68:H68)+D68))</f>
        <v/>
      </c>
      <c r="S68" s="11">
        <f>IF(OR(COUNT(C68:E68,G68:H68)&lt;5,SUM(G68:H68)&lt;=0),"",9.81*(C68*G68/SUM(G68:H68)+E68))</f>
        <v/>
      </c>
    </row>
    <row r="69" spans="1:19" ht="32" customHeight="1">
      <c r="A69" s="8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1">
        <f>IF(COUNT(G69:H69)&lt;2,"",G69+H69)</f>
        <v/>
      </c>
      <c r="R69" s="11">
        <f>IF(OR(COUNT(C69:E69,G69:H69)&lt;5,SUM(G69:H69)&lt;=0),"",9.81*(C69*H69/SUM(G69:H69)+D69))</f>
        <v/>
      </c>
      <c r="S69" s="11">
        <f>IF(OR(COUNT(C69:E69,G69:H69)&lt;5,SUM(G69:H69)&lt;=0),"",9.81*(C69*G69/SUM(G69:H69)+E69))</f>
        <v/>
      </c>
    </row>
    <row r="70" spans="1:19" ht="32" customHeight="1">
      <c r="A70" s="8" t="s">
        <v>83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1">
        <f>IF(COUNT(G70:H70)&lt;2,"",G70+H70)</f>
        <v/>
      </c>
      <c r="R70" s="11">
        <f>IF(OR(COUNT(C70:E70,G70:H70)&lt;5,SUM(G70:H70)&lt;=0),"",9.81*(C70*H70/SUM(G70:H70)+D70))</f>
        <v/>
      </c>
      <c r="S70" s="11">
        <f>IF(OR(COUNT(C70:E70,G70:H70)&lt;5,SUM(G70:H70)&lt;=0),"",9.81*(C70*G70/SUM(G70:H70)+E70))</f>
        <v/>
      </c>
    </row>
    <row r="71" spans="1:19" ht="32" customHeight="1">
      <c r="A71" s="8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1">
        <f>IF(COUNT(G71:H71)&lt;2,"",G71+H71)</f>
        <v/>
      </c>
      <c r="R71" s="11">
        <f>IF(OR(COUNT(C71:E71,G71:H71)&lt;5,SUM(G71:H71)&lt;=0),"",9.81*(C71*H71/SUM(G71:H71)+D71))</f>
        <v/>
      </c>
      <c r="S71" s="11">
        <f>IF(OR(COUNT(C71:E71,G71:H71)&lt;5,SUM(G71:H71)&lt;=0),"",9.81*(C71*G71/SUM(G71:H71)+E71))</f>
        <v/>
      </c>
    </row>
    <row r="72" spans="1:19" ht="32" customHeight="1">
      <c r="A72" s="8" t="s">
        <v>85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1">
        <f>IF(COUNT(G72:H72)&lt;2,"",G72+H72)</f>
        <v/>
      </c>
      <c r="R72" s="11">
        <f>IF(OR(COUNT(C72:E72,G72:H72)&lt;5,SUM(G72:H72)&lt;=0),"",9.81*(C72*H72/SUM(G72:H72)+D72))</f>
        <v/>
      </c>
      <c r="S72" s="11">
        <f>IF(OR(COUNT(C72:E72,G72:H72)&lt;5,SUM(G72:H72)&lt;=0),"",9.81*(C72*G72/SUM(G72:H72)+E72))</f>
        <v/>
      </c>
    </row>
    <row r="73" spans="1:19" ht="32" customHeight="1">
      <c r="A73" s="8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1">
        <f>IF(COUNT(G73:H73)&lt;2,"",G73+H73)</f>
        <v/>
      </c>
      <c r="R73" s="11">
        <f>IF(OR(COUNT(C73:E73,G73:H73)&lt;5,SUM(G73:H73)&lt;=0),"",9.81*(C73*H73/SUM(G73:H73)+D73))</f>
        <v/>
      </c>
      <c r="S73" s="11">
        <f>IF(OR(COUNT(C73:E73,G73:H73)&lt;5,SUM(G73:H73)&lt;=0),"",9.81*(C73*G73/SUM(G73:H73)+E73))</f>
        <v/>
      </c>
    </row>
    <row r="74" spans="1:19" ht="32" customHeight="1">
      <c r="A74" s="8" t="s">
        <v>87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1">
        <f>IF(COUNT(G74:H74)&lt;2,"",G74+H74)</f>
        <v/>
      </c>
      <c r="R74" s="11">
        <f>IF(OR(COUNT(C74:E74,G74:H74)&lt;5,SUM(G74:H74)&lt;=0),"",9.81*(C74*H74/SUM(G74:H74)+D74))</f>
        <v/>
      </c>
      <c r="S74" s="11">
        <f>IF(OR(COUNT(C74:E74,G74:H74)&lt;5,SUM(G74:H74)&lt;=0),"",9.81*(C74*G74/SUM(G74:H74)+E74))</f>
        <v/>
      </c>
    </row>
    <row r="75" spans="1:19" ht="32" customHeight="1">
      <c r="A75" s="8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1">
        <f>IF(COUNT(G75:H75)&lt;2,"",G75+H75)</f>
        <v/>
      </c>
      <c r="R75" s="11">
        <f>IF(OR(COUNT(C75:E75,G75:H75)&lt;5,SUM(G75:H75)&lt;=0),"",9.81*(C75*H75/SUM(G75:H75)+D75))</f>
        <v/>
      </c>
      <c r="S75" s="11">
        <f>IF(OR(COUNT(C75:E75,G75:H75)&lt;5,SUM(G75:H75)&lt;=0),"",9.81*(C75*G75/SUM(G75:H75)+E75))</f>
        <v/>
      </c>
    </row>
    <row r="76" spans="1:19" ht="32" customHeight="1">
      <c r="A76" s="8" t="s">
        <v>89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1">
        <f>IF(COUNT(G76:H76)&lt;2,"",G76+H76)</f>
        <v/>
      </c>
      <c r="R76" s="11">
        <f>IF(OR(COUNT(C76:E76,G76:H76)&lt;5,SUM(G76:H76)&lt;=0),"",9.81*(C76*H76/SUM(G76:H76)+D76))</f>
        <v/>
      </c>
      <c r="S76" s="11">
        <f>IF(OR(COUNT(C76:E76,G76:H76)&lt;5,SUM(G76:H76)&lt;=0),"",9.81*(C76*G76/SUM(G76:H76)+E76))</f>
        <v/>
      </c>
    </row>
    <row r="77" spans="1:19" ht="32" customHeight="1">
      <c r="A77" s="8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1">
        <f>IF(COUNT(G77:H77)&lt;2,"",G77+H77)</f>
        <v/>
      </c>
      <c r="R77" s="11">
        <f>IF(OR(COUNT(C77:E77,G77:H77)&lt;5,SUM(G77:H77)&lt;=0),"",9.81*(C77*H77/SUM(G77:H77)+D77))</f>
        <v/>
      </c>
      <c r="S77" s="11">
        <f>IF(OR(COUNT(C77:E77,G77:H77)&lt;5,SUM(G77:H77)&lt;=0),"",9.81*(C77*G77/SUM(G77:H77)+E77))</f>
        <v/>
      </c>
    </row>
    <row r="78" spans="1:19" ht="32" customHeight="1">
      <c r="A78" s="8" t="s">
        <v>91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1">
        <f>IF(COUNT(G78:H78)&lt;2,"",G78+H78)</f>
        <v/>
      </c>
      <c r="R78" s="11">
        <f>IF(OR(COUNT(C78:E78,G78:H78)&lt;5,SUM(G78:H78)&lt;=0),"",9.81*(C78*H78/SUM(G78:H78)+D78))</f>
        <v/>
      </c>
      <c r="S78" s="11">
        <f>IF(OR(COUNT(C78:E78,G78:H78)&lt;5,SUM(G78:H78)&lt;=0),"",9.81*(C78*G78/SUM(G78:H78)+E78))</f>
        <v/>
      </c>
    </row>
    <row r="79" spans="1:19" ht="32" customHeight="1">
      <c r="A79" s="8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1">
        <f>IF(COUNT(G79:H79)&lt;2,"",G79+H79)</f>
        <v/>
      </c>
      <c r="R79" s="11">
        <f>IF(OR(COUNT(C79:E79,G79:H79)&lt;5,SUM(G79:H79)&lt;=0),"",9.81*(C79*H79/SUM(G79:H79)+D79))</f>
        <v/>
      </c>
      <c r="S79" s="11">
        <f>IF(OR(COUNT(C79:E79,G79:H79)&lt;5,SUM(G79:H79)&lt;=0),"",9.81*(C79*G79/SUM(G79:H79)+E79))</f>
        <v/>
      </c>
    </row>
    <row r="80" spans="1:19" ht="32" customHeight="1">
      <c r="A80" s="8" t="s">
        <v>93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1">
        <f>IF(COUNT(G80:H80)&lt;2,"",G80+H80)</f>
        <v/>
      </c>
      <c r="R80" s="11">
        <f>IF(OR(COUNT(C80:E80,G80:H80)&lt;5,SUM(G80:H80)&lt;=0),"",9.81*(C80*H80/SUM(G80:H80)+D80))</f>
        <v/>
      </c>
      <c r="S80" s="11">
        <f>IF(OR(COUNT(C80:E80,G80:H80)&lt;5,SUM(G80:H80)&lt;=0),"",9.81*(C80*G80/SUM(G80:H80)+E80))</f>
        <v/>
      </c>
    </row>
    <row r="81" spans="1:19" ht="32" customHeight="1">
      <c r="A81" s="8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1">
        <f>IF(COUNT(G81:H81)&lt;2,"",G81+H81)</f>
        <v/>
      </c>
      <c r="R81" s="11">
        <f>IF(OR(COUNT(C81:E81,G81:H81)&lt;5,SUM(G81:H81)&lt;=0),"",9.81*(C81*H81/SUM(G81:H81)+D81))</f>
        <v/>
      </c>
      <c r="S81" s="11">
        <f>IF(OR(COUNT(C81:E81,G81:H81)&lt;5,SUM(G81:H81)&lt;=0),"",9.81*(C81*G81/SUM(G81:H81)+E81))</f>
        <v/>
      </c>
    </row>
    <row r="82" spans="1:19" ht="32" customHeight="1">
      <c r="A82" s="8" t="s">
        <v>95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1">
        <f>IF(COUNT(G82:H82)&lt;2,"",G82+H82)</f>
        <v/>
      </c>
      <c r="R82" s="11">
        <f>IF(OR(COUNT(C82:E82,G82:H82)&lt;5,SUM(G82:H82)&lt;=0),"",9.81*(C82*H82/SUM(G82:H82)+D82))</f>
        <v/>
      </c>
      <c r="S82" s="11">
        <f>IF(OR(COUNT(C82:E82,G82:H82)&lt;5,SUM(G82:H82)&lt;=0),"",9.81*(C82*G82/SUM(G82:H82)+E82))</f>
        <v/>
      </c>
    </row>
    <row r="83" spans="1:19" ht="32" customHeight="1">
      <c r="A83" s="8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1">
        <f>IF(COUNT(G83:H83)&lt;2,"",G83+H83)</f>
        <v/>
      </c>
      <c r="R83" s="11">
        <f>IF(OR(COUNT(C83:E83,G83:H83)&lt;5,SUM(G83:H83)&lt;=0),"",9.81*(C83*H83/SUM(G83:H83)+D83))</f>
        <v/>
      </c>
      <c r="S83" s="11">
        <f>IF(OR(COUNT(C83:E83,G83:H83)&lt;5,SUM(G83:H83)&lt;=0),"",9.81*(C83*G83/SUM(G83:H83)+E83))</f>
        <v/>
      </c>
    </row>
    <row r="84" spans="1:19" ht="32" customHeight="1">
      <c r="A84" s="8" t="s">
        <v>97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1">
        <f>IF(COUNT(G84:H84)&lt;2,"",G84+H84)</f>
        <v/>
      </c>
      <c r="R84" s="11">
        <f>IF(OR(COUNT(C84:E84,G84:H84)&lt;5,SUM(G84:H84)&lt;=0),"",9.81*(C84*H84/SUM(G84:H84)+D84))</f>
        <v/>
      </c>
      <c r="S84" s="11">
        <f>IF(OR(COUNT(C84:E84,G84:H84)&lt;5,SUM(G84:H84)&lt;=0),"",9.81*(C84*G84/SUM(G84:H84)+E84))</f>
        <v/>
      </c>
    </row>
    <row r="85" spans="1:19" ht="32" customHeight="1">
      <c r="A85" s="8" t="s">
        <v>98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1">
        <f>IF(COUNT(G85:H85)&lt;2,"",G85+H85)</f>
        <v/>
      </c>
      <c r="R85" s="11">
        <f>IF(OR(COUNT(C85:E85,G85:H85)&lt;5,SUM(G85:H85)&lt;=0),"",9.81*(C85*H85/SUM(G85:H85)+D85))</f>
        <v/>
      </c>
      <c r="S85" s="11">
        <f>IF(OR(COUNT(C85:E85,G85:H85)&lt;5,SUM(G85:H85)&lt;=0),"",9.81*(C85*G85/SUM(G85:H85)+E85))</f>
        <v/>
      </c>
    </row>
    <row r="86" spans="1:19" ht="32" customHeight="1">
      <c r="A86" s="8" t="s">
        <v>99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1">
        <f>IF(COUNT(G86:H86)&lt;2,"",G86+H86)</f>
        <v/>
      </c>
      <c r="R86" s="11">
        <f>IF(OR(COUNT(C86:E86,G86:H86)&lt;5,SUM(G86:H86)&lt;=0),"",9.81*(C86*H86/SUM(G86:H86)+D86))</f>
        <v/>
      </c>
      <c r="S86" s="11">
        <f>IF(OR(COUNT(C86:E86,G86:H86)&lt;5,SUM(G86:H86)&lt;=0),"",9.81*(C86*G86/SUM(G86:H86)+E86))</f>
        <v/>
      </c>
    </row>
    <row r="87" spans="1:19" ht="32" customHeight="1">
      <c r="A87" s="8" t="s">
        <v>100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1">
        <f>IF(COUNT(G87:H87)&lt;2,"",G87+H87)</f>
        <v/>
      </c>
      <c r="R87" s="11">
        <f>IF(OR(COUNT(C87:E87,G87:H87)&lt;5,SUM(G87:H87)&lt;=0),"",9.81*(C87*H87/SUM(G87:H87)+D87))</f>
        <v/>
      </c>
      <c r="S87" s="11">
        <f>IF(OR(COUNT(C87:E87,G87:H87)&lt;5,SUM(G87:H87)&lt;=0),"",9.81*(C87*G87/SUM(G87:H87)+E87))</f>
        <v/>
      </c>
    </row>
    <row r="88" spans="1:19" ht="32" customHeight="1">
      <c r="A88" s="8" t="s">
        <v>101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1">
        <f>IF(COUNT(G88:H88)&lt;2,"",G88+H88)</f>
        <v/>
      </c>
      <c r="R88" s="11">
        <f>IF(OR(COUNT(C88:E88,G88:H88)&lt;5,SUM(G88:H88)&lt;=0),"",9.81*(C88*H88/SUM(G88:H88)+D88))</f>
        <v/>
      </c>
      <c r="S88" s="11">
        <f>IF(OR(COUNT(C88:E88,G88:H88)&lt;5,SUM(G88:H88)&lt;=0),"",9.81*(C88*G88/SUM(G88:H88)+E88))</f>
        <v/>
      </c>
    </row>
    <row r="89" spans="1:19" ht="32" customHeight="1">
      <c r="A89" s="8" t="s">
        <v>102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1">
        <f>IF(COUNT(G89:H89)&lt;2,"",G89+H89)</f>
        <v/>
      </c>
      <c r="R89" s="11">
        <f>IF(OR(COUNT(C89:E89,G89:H89)&lt;5,SUM(G89:H89)&lt;=0),"",9.81*(C89*H89/SUM(G89:H89)+D89))</f>
        <v/>
      </c>
      <c r="S89" s="11">
        <f>IF(OR(COUNT(C89:E89,G89:H89)&lt;5,SUM(G89:H89)&lt;=0),"",9.81*(C89*G89/SUM(G89:H89)+E89))</f>
        <v/>
      </c>
    </row>
    <row r="90" spans="1:19" ht="32" customHeight="1">
      <c r="A90" s="8" t="s">
        <v>103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1">
        <f>IF(COUNT(G90:H90)&lt;2,"",G90+H90)</f>
        <v/>
      </c>
      <c r="R90" s="11">
        <f>IF(OR(COUNT(C90:E90,G90:H90)&lt;5,SUM(G90:H90)&lt;=0),"",9.81*(C90*H90/SUM(G90:H90)+D90))</f>
        <v/>
      </c>
      <c r="S90" s="11">
        <f>IF(OR(COUNT(C90:E90,G90:H90)&lt;5,SUM(G90:H90)&lt;=0),"",9.81*(C90*G90/SUM(G90:H90)+E90))</f>
        <v/>
      </c>
    </row>
    <row r="91" spans="1:19" ht="32" customHeight="1">
      <c r="A91" s="8" t="s">
        <v>104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1">
        <f>IF(COUNT(G91:H91)&lt;2,"",G91+H91)</f>
        <v/>
      </c>
      <c r="R91" s="11">
        <f>IF(OR(COUNT(C91:E91,G91:H91)&lt;5,SUM(G91:H91)&lt;=0),"",9.81*(C91*H91/SUM(G91:H91)+D91))</f>
        <v/>
      </c>
      <c r="S91" s="11">
        <f>IF(OR(COUNT(C91:E91,G91:H91)&lt;5,SUM(G91:H91)&lt;=0),"",9.81*(C91*G91/SUM(G91:H91)+E91))</f>
        <v/>
      </c>
    </row>
    <row r="92" spans="1:19" ht="32" customHeight="1">
      <c r="A92" s="8" t="s">
        <v>105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1">
        <f>IF(COUNT(G92:H92)&lt;2,"",G92+H92)</f>
        <v/>
      </c>
      <c r="R92" s="11">
        <f>IF(OR(COUNT(C92:E92,G92:H92)&lt;5,SUM(G92:H92)&lt;=0),"",9.81*(C92*H92/SUM(G92:H92)+D92))</f>
        <v/>
      </c>
      <c r="S92" s="11">
        <f>IF(OR(COUNT(C92:E92,G92:H92)&lt;5,SUM(G92:H92)&lt;=0),"",9.81*(C92*G92/SUM(G92:H92)+E92))</f>
        <v/>
      </c>
    </row>
    <row r="93" spans="1:19" ht="32" customHeight="1">
      <c r="A93" s="8" t="s">
        <v>106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1">
        <f>IF(COUNT(G93:H93)&lt;2,"",G93+H93)</f>
        <v/>
      </c>
      <c r="R93" s="11">
        <f>IF(OR(COUNT(C93:E93,G93:H93)&lt;5,SUM(G93:H93)&lt;=0),"",9.81*(C93*H93/SUM(G93:H93)+D93))</f>
        <v/>
      </c>
      <c r="S93" s="11">
        <f>IF(OR(COUNT(C93:E93,G93:H93)&lt;5,SUM(G93:H93)&lt;=0),"",9.81*(C93*G93/SUM(G93:H93)+E93))</f>
        <v/>
      </c>
    </row>
    <row r="94" spans="1:19" ht="32" customHeight="1">
      <c r="A94" s="8" t="s">
        <v>107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1">
        <f>IF(COUNT(G94:H94)&lt;2,"",G94+H94)</f>
        <v/>
      </c>
      <c r="R94" s="11">
        <f>IF(OR(COUNT(C94:E94,G94:H94)&lt;5,SUM(G94:H94)&lt;=0),"",9.81*(C94*H94/SUM(G94:H94)+D94))</f>
        <v/>
      </c>
      <c r="S94" s="11">
        <f>IF(OR(COUNT(C94:E94,G94:H94)&lt;5,SUM(G94:H94)&lt;=0),"",9.81*(C94*G94/SUM(G94:H94)+E94))</f>
        <v/>
      </c>
    </row>
    <row r="95" spans="1:19" ht="32" customHeight="1">
      <c r="A95" s="8" t="s">
        <v>108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1">
        <f>IF(COUNT(G95:H95)&lt;2,"",G95+H95)</f>
        <v/>
      </c>
      <c r="R95" s="11">
        <f>IF(OR(COUNT(C95:E95,G95:H95)&lt;5,SUM(G95:H95)&lt;=0),"",9.81*(C95*H95/SUM(G95:H95)+D95))</f>
        <v/>
      </c>
      <c r="S95" s="11">
        <f>IF(OR(COUNT(C95:E95,G95:H95)&lt;5,SUM(G95:H95)&lt;=0),"",9.81*(C95*G95/SUM(G95:H95)+E95))</f>
        <v/>
      </c>
    </row>
    <row r="96" spans="1:19" ht="32" customHeight="1">
      <c r="A96" s="8" t="s">
        <v>109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1">
        <f>IF(COUNT(G96:H96)&lt;2,"",G96+H96)</f>
        <v/>
      </c>
      <c r="R96" s="11">
        <f>IF(OR(COUNT(C96:E96,G96:H96)&lt;5,SUM(G96:H96)&lt;=0),"",9.81*(C96*H96/SUM(G96:H96)+D96))</f>
        <v/>
      </c>
      <c r="S96" s="11">
        <f>IF(OR(COUNT(C96:E96,G96:H96)&lt;5,SUM(G96:H96)&lt;=0),"",9.81*(C96*G96/SUM(G96:H96)+E96))</f>
        <v/>
      </c>
    </row>
    <row r="97" spans="1:19" ht="32" customHeight="1">
      <c r="A97" s="8" t="s">
        <v>110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1">
        <f>IF(COUNT(G97:H97)&lt;2,"",G97+H97)</f>
        <v/>
      </c>
      <c r="R97" s="11">
        <f>IF(OR(COUNT(C97:E97,G97:H97)&lt;5,SUM(G97:H97)&lt;=0),"",9.81*(C97*H97/SUM(G97:H97)+D97))</f>
        <v/>
      </c>
      <c r="S97" s="11">
        <f>IF(OR(COUNT(C97:E97,G97:H97)&lt;5,SUM(G97:H97)&lt;=0),"",9.81*(C97*G97/SUM(G97:H97)+E97))</f>
        <v/>
      </c>
    </row>
    <row r="98" spans="1:19" ht="32" customHeight="1">
      <c r="A98" s="8" t="s">
        <v>111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1">
        <f>IF(COUNT(G98:H98)&lt;2,"",G98+H98)</f>
        <v/>
      </c>
      <c r="R98" s="11">
        <f>IF(OR(COUNT(C98:E98,G98:H98)&lt;5,SUM(G98:H98)&lt;=0),"",9.81*(C98*H98/SUM(G98:H98)+D98))</f>
        <v/>
      </c>
      <c r="S98" s="11">
        <f>IF(OR(COUNT(C98:E98,G98:H98)&lt;5,SUM(G98:H98)&lt;=0),"",9.81*(C98*G98/SUM(G98:H98)+E98))</f>
        <v/>
      </c>
    </row>
    <row r="99" spans="1:19" ht="32" customHeight="1">
      <c r="A99" s="8" t="s">
        <v>112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1">
        <f>IF(COUNT(G99:H99)&lt;2,"",G99+H99)</f>
        <v/>
      </c>
      <c r="R99" s="11">
        <f>IF(OR(COUNT(C99:E99,G99:H99)&lt;5,SUM(G99:H99)&lt;=0),"",9.81*(C99*H99/SUM(G99:H99)+D99))</f>
        <v/>
      </c>
      <c r="S99" s="11">
        <f>IF(OR(COUNT(C99:E99,G99:H99)&lt;5,SUM(G99:H99)&lt;=0),"",9.81*(C99*G99/SUM(G99:H99)+E99))</f>
        <v/>
      </c>
    </row>
    <row r="100" spans="1:19" ht="32" customHeight="1">
      <c r="A100" s="8" t="s">
        <v>113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1">
        <f>IF(COUNT(G100:H100)&lt;2,"",G100+H100)</f>
        <v/>
      </c>
      <c r="R100" s="11">
        <f>IF(OR(COUNT(C100:E100,G100:H100)&lt;5,SUM(G100:H100)&lt;=0),"",9.81*(C100*H100/SUM(G100:H100)+D100))</f>
        <v/>
      </c>
      <c r="S100" s="11">
        <f>IF(OR(COUNT(C100:E100,G100:H100)&lt;5,SUM(G100:H100)&lt;=0),"",9.81*(C100*G100/SUM(G100:H100)+E100))</f>
        <v/>
      </c>
    </row>
    <row r="101" spans="1:19" ht="32" customHeight="1">
      <c r="A101" s="8" t="s">
        <v>114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1">
        <f>IF(COUNT(G101:H101)&lt;2,"",G101+H101)</f>
        <v/>
      </c>
      <c r="R101" s="11">
        <f>IF(OR(COUNT(C101:E101,G101:H101)&lt;5,SUM(G101:H101)&lt;=0),"",9.81*(C101*H101/SUM(G101:H101)+D101))</f>
        <v/>
      </c>
      <c r="S101" s="11">
        <f>IF(OR(COUNT(C101:E101,G101:H101)&lt;5,SUM(G101:H101)&lt;=0),"",9.81*(C101*G101/SUM(G101:H101)+E101))</f>
        <v/>
      </c>
    </row>
    <row r="102" spans="1:19" ht="32" customHeight="1">
      <c r="A102" s="8" t="s">
        <v>115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1">
        <f>IF(COUNT(G102:H102)&lt;2,"",G102+H102)</f>
        <v/>
      </c>
      <c r="R102" s="11">
        <f>IF(OR(COUNT(C102:E102,G102:H102)&lt;5,SUM(G102:H102)&lt;=0),"",9.81*(C102*H102/SUM(G102:H102)+D102))</f>
        <v/>
      </c>
      <c r="S102" s="11">
        <f>IF(OR(COUNT(C102:E102,G102:H102)&lt;5,SUM(G102:H102)&lt;=0),"",9.81*(C102*G102/SUM(G102:H102)+E102))</f>
        <v/>
      </c>
    </row>
    <row r="103" spans="1:19" ht="32" customHeight="1">
      <c r="A103" s="8" t="s">
        <v>116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1">
        <f>IF(COUNT(G103:H103)&lt;2,"",G103+H103)</f>
        <v/>
      </c>
      <c r="R103" s="11">
        <f>IF(OR(COUNT(C103:E103,G103:H103)&lt;5,SUM(G103:H103)&lt;=0),"",9.81*(C103*H103/SUM(G103:H103)+D103))</f>
        <v/>
      </c>
      <c r="S103" s="11">
        <f>IF(OR(COUNT(C103:E103,G103:H103)&lt;5,SUM(G103:H103)&lt;=0),"",9.81*(C103*G103/SUM(G103:H103)+E103))</f>
        <v/>
      </c>
    </row>
    <row r="104" spans="1:19" ht="32" customHeight="1">
      <c r="A104" s="8" t="s">
        <v>117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1">
        <f>IF(COUNT(G104:H104)&lt;2,"",G104+H104)</f>
        <v/>
      </c>
      <c r="R104" s="11">
        <f>IF(OR(COUNT(C104:E104,G104:H104)&lt;5,SUM(G104:H104)&lt;=0),"",9.81*(C104*H104/SUM(G104:H104)+D104))</f>
        <v/>
      </c>
      <c r="S104" s="11">
        <f>IF(OR(COUNT(C104:E104,G104:H104)&lt;5,SUM(G104:H104)&lt;=0),"",9.81*(C104*G104/SUM(G104:H104)+E104))</f>
        <v/>
      </c>
    </row>
    <row r="105" spans="1:19" ht="32" customHeight="1">
      <c r="A105" s="8" t="s">
        <v>118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1">
        <f>IF(COUNT(G105:H105)&lt;2,"",G105+H105)</f>
        <v/>
      </c>
      <c r="R105" s="11">
        <f>IF(OR(COUNT(C105:E105,G105:H105)&lt;5,SUM(G105:H105)&lt;=0),"",9.81*(C105*H105/SUM(G105:H105)+D105))</f>
        <v/>
      </c>
      <c r="S105" s="11">
        <f>IF(OR(COUNT(C105:E105,G105:H105)&lt;5,SUM(G105:H105)&lt;=0),"",9.81*(C105*G105/SUM(G105:H105)+E105))</f>
        <v/>
      </c>
    </row>
    <row r="106" spans="1:19" ht="32" customHeight="1">
      <c r="A106" s="8" t="s">
        <v>119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1">
        <f>IF(COUNT(G106:H106)&lt;2,"",G106+H106)</f>
        <v/>
      </c>
      <c r="R106" s="11">
        <f>IF(OR(COUNT(C106:E106,G106:H106)&lt;5,SUM(G106:H106)&lt;=0),"",9.81*(C106*H106/SUM(G106:H106)+D106))</f>
        <v/>
      </c>
      <c r="S106" s="11">
        <f>IF(OR(COUNT(C106:E106,G106:H106)&lt;5,SUM(G106:H106)&lt;=0),"",9.81*(C106*G106/SUM(G106:H106)+E106))</f>
        <v/>
      </c>
    </row>
    <row r="107" spans="1:19" ht="32" customHeight="1">
      <c r="A107" s="8" t="s">
        <v>120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1">
        <f>IF(COUNT(G107:H107)&lt;2,"",G107+H107)</f>
        <v/>
      </c>
      <c r="R107" s="11">
        <f>IF(OR(COUNT(C107:E107,G107:H107)&lt;5,SUM(G107:H107)&lt;=0),"",9.81*(C107*H107/SUM(G107:H107)+D107))</f>
        <v/>
      </c>
      <c r="S107" s="11">
        <f>IF(OR(COUNT(C107:E107,G107:H107)&lt;5,SUM(G107:H107)&lt;=0),"",9.81*(C107*G107/SUM(G107:H107)+E107))</f>
        <v/>
      </c>
    </row>
    <row r="108" spans="1:19" ht="32" customHeight="1">
      <c r="A108" s="8" t="s">
        <v>121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1">
        <f>IF(COUNT(G108:H108)&lt;2,"",G108+H108)</f>
        <v/>
      </c>
      <c r="R108" s="11">
        <f>IF(OR(COUNT(C108:E108,G108:H108)&lt;5,SUM(G108:H108)&lt;=0),"",9.81*(C108*H108/SUM(G108:H108)+D108))</f>
        <v/>
      </c>
      <c r="S108" s="11">
        <f>IF(OR(COUNT(C108:E108,G108:H108)&lt;5,SUM(G108:H108)&lt;=0),"",9.81*(C108*G108/SUM(G108:H108)+E108))</f>
        <v/>
      </c>
    </row>
    <row r="109" spans="1:19" ht="32" customHeight="1">
      <c r="A109" s="8" t="s">
        <v>122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1">
        <f>IF(COUNT(G109:H109)&lt;2,"",G109+H109)</f>
        <v/>
      </c>
      <c r="R109" s="11">
        <f>IF(OR(COUNT(C109:E109,G109:H109)&lt;5,SUM(G109:H109)&lt;=0),"",9.81*(C109*H109/SUM(G109:H109)+D109))</f>
        <v/>
      </c>
      <c r="S109" s="11">
        <f>IF(OR(COUNT(C109:E109,G109:H109)&lt;5,SUM(G109:H109)&lt;=0),"",9.81*(C109*G109/SUM(G109:H109)+E109))</f>
        <v/>
      </c>
    </row>
    <row r="110" spans="1:19" ht="32" customHeight="1">
      <c r="A110" s="8" t="s">
        <v>123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1">
        <f>IF(COUNT(G110:H110)&lt;2,"",G110+H110)</f>
        <v/>
      </c>
      <c r="R110" s="11">
        <f>IF(OR(COUNT(C110:E110,G110:H110)&lt;5,SUM(G110:H110)&lt;=0),"",9.81*(C110*H110/SUM(G110:H110)+D110))</f>
        <v/>
      </c>
      <c r="S110" s="11">
        <f>IF(OR(COUNT(C110:E110,G110:H110)&lt;5,SUM(G110:H110)&lt;=0),"",9.81*(C110*G110/SUM(G110:H110)+E110))</f>
        <v/>
      </c>
    </row>
    <row r="111" spans="1:19" ht="32" customHeight="1">
      <c r="A111" s="8" t="s">
        <v>124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1">
        <f>IF(COUNT(G111:H111)&lt;2,"",G111+H111)</f>
        <v/>
      </c>
      <c r="R111" s="11">
        <f>IF(OR(COUNT(C111:E111,G111:H111)&lt;5,SUM(G111:H111)&lt;=0),"",9.81*(C111*H111/SUM(G111:H111)+D111))</f>
        <v/>
      </c>
      <c r="S111" s="11">
        <f>IF(OR(COUNT(C111:E111,G111:H111)&lt;5,SUM(G111:H111)&lt;=0),"",9.81*(C111*G111/SUM(G111:H111)+E111))</f>
        <v/>
      </c>
    </row>
    <row r="112" spans="1:19" ht="32" customHeight="1">
      <c r="A112" s="8" t="s">
        <v>125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1">
        <f>IF(COUNT(G112:H112)&lt;2,"",G112+H112)</f>
        <v/>
      </c>
      <c r="R112" s="11">
        <f>IF(OR(COUNT(C112:E112,G112:H112)&lt;5,SUM(G112:H112)&lt;=0),"",9.81*(C112*H112/SUM(G112:H112)+D112))</f>
        <v/>
      </c>
      <c r="S112" s="11">
        <f>IF(OR(COUNT(C112:E112,G112:H112)&lt;5,SUM(G112:H112)&lt;=0),"",9.81*(C112*G112/SUM(G112:H112)+E112))</f>
        <v/>
      </c>
    </row>
    <row r="113" spans="1:19" ht="32" customHeight="1">
      <c r="A113" s="8" t="s">
        <v>126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1">
        <f>IF(COUNT(G113:H113)&lt;2,"",G113+H113)</f>
        <v/>
      </c>
      <c r="R113" s="11">
        <f>IF(OR(COUNT(C113:E113,G113:H113)&lt;5,SUM(G113:H113)&lt;=0),"",9.81*(C113*H113/SUM(G113:H113)+D113))</f>
        <v/>
      </c>
      <c r="S113" s="11">
        <f>IF(OR(COUNT(C113:E113,G113:H113)&lt;5,SUM(G113:H113)&lt;=0),"",9.81*(C113*G113/SUM(G113:H113)+E113))</f>
        <v/>
      </c>
    </row>
    <row r="114" spans="1:19" ht="32" customHeight="1">
      <c r="A114" s="8" t="s">
        <v>127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1">
        <f>IF(COUNT(G114:H114)&lt;2,"",G114+H114)</f>
        <v/>
      </c>
      <c r="R114" s="11">
        <f>IF(OR(COUNT(C114:E114,G114:H114)&lt;5,SUM(G114:H114)&lt;=0),"",9.81*(C114*H114/SUM(G114:H114)+D114))</f>
        <v/>
      </c>
      <c r="S114" s="11">
        <f>IF(OR(COUNT(C114:E114,G114:H114)&lt;5,SUM(G114:H114)&lt;=0),"",9.81*(C114*G114/SUM(G114:H114)+E114))</f>
        <v/>
      </c>
    </row>
    <row r="115" spans="1:19" ht="32" customHeight="1">
      <c r="A115" s="8" t="s">
        <v>128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1">
        <f>IF(COUNT(G115:H115)&lt;2,"",G115+H115)</f>
        <v/>
      </c>
      <c r="R115" s="11">
        <f>IF(OR(COUNT(C115:E115,G115:H115)&lt;5,SUM(G115:H115)&lt;=0),"",9.81*(C115*H115/SUM(G115:H115)+D115))</f>
        <v/>
      </c>
      <c r="S115" s="11">
        <f>IF(OR(COUNT(C115:E115,G115:H115)&lt;5,SUM(G115:H115)&lt;=0),"",9.81*(C115*G115/SUM(G115:H115)+E115))</f>
        <v/>
      </c>
    </row>
    <row r="116" spans="1:19" ht="32" customHeight="1">
      <c r="A116" s="8" t="s">
        <v>129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1">
        <f>IF(COUNT(G116:H116)&lt;2,"",G116+H116)</f>
        <v/>
      </c>
      <c r="R116" s="11">
        <f>IF(OR(COUNT(C116:E116,G116:H116)&lt;5,SUM(G116:H116)&lt;=0),"",9.81*(C116*H116/SUM(G116:H116)+D116))</f>
        <v/>
      </c>
      <c r="S116" s="11">
        <f>IF(OR(COUNT(C116:E116,G116:H116)&lt;5,SUM(G116:H116)&lt;=0),"",9.81*(C116*G116/SUM(G116:H116)+E116))</f>
        <v/>
      </c>
    </row>
    <row r="117" spans="1:19" ht="32" customHeight="1">
      <c r="A117" s="8" t="s">
        <v>130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1">
        <f>IF(COUNT(G117:H117)&lt;2,"",G117+H117)</f>
        <v/>
      </c>
      <c r="R117" s="11">
        <f>IF(OR(COUNT(C117:E117,G117:H117)&lt;5,SUM(G117:H117)&lt;=0),"",9.81*(C117*H117/SUM(G117:H117)+D117))</f>
        <v/>
      </c>
      <c r="S117" s="11">
        <f>IF(OR(COUNT(C117:E117,G117:H117)&lt;5,SUM(G117:H117)&lt;=0),"",9.81*(C117*G117/SUM(G117:H117)+E117))</f>
        <v/>
      </c>
    </row>
    <row r="118" spans="1:19" ht="32" customHeight="1">
      <c r="A118" s="8" t="s">
        <v>131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1">
        <f>IF(COUNT(G118:H118)&lt;2,"",G118+H118)</f>
        <v/>
      </c>
      <c r="R118" s="11">
        <f>IF(OR(COUNT(C118:E118,G118:H118)&lt;5,SUM(G118:H118)&lt;=0),"",9.81*(C118*H118/SUM(G118:H118)+D118))</f>
        <v/>
      </c>
      <c r="S118" s="11">
        <f>IF(OR(COUNT(C118:E118,G118:H118)&lt;5,SUM(G118:H118)&lt;=0),"",9.81*(C118*G118/SUM(G118:H118)+E118))</f>
        <v/>
      </c>
    </row>
    <row r="119" spans="1:19" ht="32" customHeight="1">
      <c r="A119" s="8" t="s">
        <v>132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1">
        <f>IF(COUNT(G119:H119)&lt;2,"",G119+H119)</f>
        <v/>
      </c>
      <c r="R119" s="11">
        <f>IF(OR(COUNT(C119:E119,G119:H119)&lt;5,SUM(G119:H119)&lt;=0),"",9.81*(C119*H119/SUM(G119:H119)+D119))</f>
        <v/>
      </c>
      <c r="S119" s="11">
        <f>IF(OR(COUNT(C119:E119,G119:H119)&lt;5,SUM(G119:H119)&lt;=0),"",9.81*(C119*G119/SUM(G119:H119)+E119))</f>
        <v/>
      </c>
    </row>
    <row r="120" spans="1:19" ht="32" customHeight="1">
      <c r="A120" s="8" t="s">
        <v>133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1">
        <f>IF(COUNT(G120:H120)&lt;2,"",G120+H120)</f>
        <v/>
      </c>
      <c r="R120" s="11">
        <f>IF(OR(COUNT(C120:E120,G120:H120)&lt;5,SUM(G120:H120)&lt;=0),"",9.81*(C120*H120/SUM(G120:H120)+D120))</f>
        <v/>
      </c>
      <c r="S120" s="11">
        <f>IF(OR(COUNT(C120:E120,G120:H120)&lt;5,SUM(G120:H120)&lt;=0),"",9.81*(C120*G120/SUM(G120:H120)+E120))</f>
        <v/>
      </c>
    </row>
    <row r="121" spans="1:19" ht="32" customHeight="1">
      <c r="A121" s="8" t="s">
        <v>134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1">
        <f>IF(COUNT(G121:H121)&lt;2,"",G121+H121)</f>
        <v/>
      </c>
      <c r="R121" s="11">
        <f>IF(OR(COUNT(C121:E121,G121:H121)&lt;5,SUM(G121:H121)&lt;=0),"",9.81*(C121*H121/SUM(G121:H121)+D121))</f>
        <v/>
      </c>
      <c r="S121" s="11">
        <f>IF(OR(COUNT(C121:E121,G121:H121)&lt;5,SUM(G121:H121)&lt;=0),"",9.81*(C121*G121/SUM(G121:H121)+E121))</f>
        <v/>
      </c>
    </row>
    <row r="122" spans="1:19" ht="32" customHeight="1">
      <c r="A122" s="8" t="s">
        <v>135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1">
        <f>IF(COUNT(G122:H122)&lt;2,"",G122+H122)</f>
        <v/>
      </c>
      <c r="R122" s="11">
        <f>IF(OR(COUNT(C122:E122,G122:H122)&lt;5,SUM(G122:H122)&lt;=0),"",9.81*(C122*H122/SUM(G122:H122)+D122))</f>
        <v/>
      </c>
      <c r="S122" s="11">
        <f>IF(OR(COUNT(C122:E122,G122:H122)&lt;5,SUM(G122:H122)&lt;=0),"",9.81*(C122*G122/SUM(G122:H122)+E122))</f>
        <v/>
      </c>
    </row>
    <row r="123" spans="1:19" ht="32" customHeight="1">
      <c r="A123" s="8" t="s">
        <v>136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1">
        <f>IF(COUNT(G123:H123)&lt;2,"",G123+H123)</f>
        <v/>
      </c>
      <c r="R123" s="11">
        <f>IF(OR(COUNT(C123:E123,G123:H123)&lt;5,SUM(G123:H123)&lt;=0),"",9.81*(C123*H123/SUM(G123:H123)+D123))</f>
        <v/>
      </c>
      <c r="S123" s="11">
        <f>IF(OR(COUNT(C123:E123,G123:H123)&lt;5,SUM(G123:H123)&lt;=0),"",9.81*(C123*G123/SUM(G123:H123)+E123))</f>
        <v/>
      </c>
    </row>
    <row r="124" spans="1:19" ht="32" customHeight="1">
      <c r="A124" s="8" t="s">
        <v>137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1">
        <f>IF(COUNT(G124:H124)&lt;2,"",G124+H124)</f>
        <v/>
      </c>
      <c r="R124" s="11">
        <f>IF(OR(COUNT(C124:E124,G124:H124)&lt;5,SUM(G124:H124)&lt;=0),"",9.81*(C124*H124/SUM(G124:H124)+D124))</f>
        <v/>
      </c>
      <c r="S124" s="11">
        <f>IF(OR(COUNT(C124:E124,G124:H124)&lt;5,SUM(G124:H124)&lt;=0),"",9.81*(C124*G124/SUM(G124:H124)+E124))</f>
        <v/>
      </c>
    </row>
    <row r="125" spans="1:19" ht="32" customHeight="1">
      <c r="A125" s="8" t="s">
        <v>138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1">
        <f>IF(COUNT(G125:H125)&lt;2,"",G125+H125)</f>
        <v/>
      </c>
      <c r="R125" s="11">
        <f>IF(OR(COUNT(C125:E125,G125:H125)&lt;5,SUM(G125:H125)&lt;=0),"",9.81*(C125*H125/SUM(G125:H125)+D125))</f>
        <v/>
      </c>
      <c r="S125" s="11">
        <f>IF(OR(COUNT(C125:E125,G125:H125)&lt;5,SUM(G125:H125)&lt;=0),"",9.81*(C125*G125/SUM(G125:H125)+E125))</f>
        <v/>
      </c>
    </row>
    <row r="126" spans="1:19" ht="32" customHeight="1">
      <c r="A126" s="8" t="s">
        <v>139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1">
        <f>IF(COUNT(G126:H126)&lt;2,"",G126+H126)</f>
        <v/>
      </c>
      <c r="R126" s="11">
        <f>IF(OR(COUNT(C126:E126,G126:H126)&lt;5,SUM(G126:H126)&lt;=0),"",9.81*(C126*H126/SUM(G126:H126)+D126))</f>
        <v/>
      </c>
      <c r="S126" s="11">
        <f>IF(OR(COUNT(C126:E126,G126:H126)&lt;5,SUM(G126:H126)&lt;=0),"",9.81*(C126*G126/SUM(G126:H126)+E126))</f>
        <v/>
      </c>
    </row>
    <row r="127" spans="1:19" ht="32" customHeight="1">
      <c r="A127" s="8" t="s">
        <v>140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1">
        <f>IF(COUNT(G127:H127)&lt;2,"",G127+H127)</f>
        <v/>
      </c>
      <c r="R127" s="11">
        <f>IF(OR(COUNT(C127:E127,G127:H127)&lt;5,SUM(G127:H127)&lt;=0),"",9.81*(C127*H127/SUM(G127:H127)+D127))</f>
        <v/>
      </c>
      <c r="S127" s="11">
        <f>IF(OR(COUNT(C127:E127,G127:H127)&lt;5,SUM(G127:H127)&lt;=0),"",9.81*(C127*G127/SUM(G127:H127)+E127))</f>
        <v/>
      </c>
    </row>
    <row r="128" spans="1:19" ht="32" customHeight="1">
      <c r="A128" s="8" t="s">
        <v>141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1">
        <f>IF(COUNT(G128:H128)&lt;2,"",G128+H128)</f>
        <v/>
      </c>
      <c r="R128" s="11">
        <f>IF(OR(COUNT(C128:E128,G128:H128)&lt;5,SUM(G128:H128)&lt;=0),"",9.81*(C128*H128/SUM(G128:H128)+D128))</f>
        <v/>
      </c>
      <c r="S128" s="11">
        <f>IF(OR(COUNT(C128:E128,G128:H128)&lt;5,SUM(G128:H128)&lt;=0),"",9.81*(C128*G128/SUM(G128:H128)+E128))</f>
        <v/>
      </c>
    </row>
    <row r="129" spans="1:19" ht="32" customHeight="1">
      <c r="A129" s="8" t="s">
        <v>142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1">
        <f>IF(COUNT(G129:H129)&lt;2,"",G129+H129)</f>
        <v/>
      </c>
      <c r="R129" s="11">
        <f>IF(OR(COUNT(C129:E129,G129:H129)&lt;5,SUM(G129:H129)&lt;=0),"",9.81*(C129*H129/SUM(G129:H129)+D129))</f>
        <v/>
      </c>
      <c r="S129" s="11">
        <f>IF(OR(COUNT(C129:E129,G129:H129)&lt;5,SUM(G129:H129)&lt;=0),"",9.81*(C129*G129/SUM(G129:H129)+E129))</f>
        <v/>
      </c>
    </row>
    <row r="130" spans="1:19" ht="32" customHeight="1">
      <c r="A130" s="8" t="s">
        <v>143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1">
        <f>IF(COUNT(G130:H130)&lt;2,"",G130+H130)</f>
        <v/>
      </c>
      <c r="R130" s="11">
        <f>IF(OR(COUNT(C130:E130,G130:H130)&lt;5,SUM(G130:H130)&lt;=0),"",9.81*(C130*H130/SUM(G130:H130)+D130))</f>
        <v/>
      </c>
      <c r="S130" s="11">
        <f>IF(OR(COUNT(C130:E130,G130:H130)&lt;5,SUM(G130:H130)&lt;=0),"",9.81*(C130*G130/SUM(G130:H130)+E130))</f>
        <v/>
      </c>
    </row>
    <row r="131" spans="1:19" ht="32" customHeight="1">
      <c r="A131" s="8" t="s">
        <v>144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1">
        <f>IF(COUNT(G131:H131)&lt;2,"",G131+H131)</f>
        <v/>
      </c>
      <c r="R131" s="11">
        <f>IF(OR(COUNT(C131:E131,G131:H131)&lt;5,SUM(G131:H131)&lt;=0),"",9.81*(C131*H131/SUM(G131:H131)+D131))</f>
        <v/>
      </c>
      <c r="S131" s="11">
        <f>IF(OR(COUNT(C131:E131,G131:H131)&lt;5,SUM(G131:H131)&lt;=0),"",9.81*(C131*G131/SUM(G131:H131)+E131))</f>
        <v/>
      </c>
    </row>
    <row r="132" spans="1:19" ht="32" customHeight="1">
      <c r="A132" s="8" t="s">
        <v>145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1">
        <f>IF(COUNT(G132:H132)&lt;2,"",G132+H132)</f>
        <v/>
      </c>
      <c r="R132" s="11">
        <f>IF(OR(COUNT(C132:E132,G132:H132)&lt;5,SUM(G132:H132)&lt;=0),"",9.81*(C132*H132/SUM(G132:H132)+D132))</f>
        <v/>
      </c>
      <c r="S132" s="11">
        <f>IF(OR(COUNT(C132:E132,G132:H132)&lt;5,SUM(G132:H132)&lt;=0),"",9.81*(C132*G132/SUM(G132:H132)+E132))</f>
        <v/>
      </c>
    </row>
    <row r="133" spans="1:19" ht="32" customHeight="1">
      <c r="A133" s="8" t="s">
        <v>146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1">
        <f>IF(COUNT(G133:H133)&lt;2,"",G133+H133)</f>
        <v/>
      </c>
      <c r="R133" s="11">
        <f>IF(OR(COUNT(C133:E133,G133:H133)&lt;5,SUM(G133:H133)&lt;=0),"",9.81*(C133*H133/SUM(G133:H133)+D133))</f>
        <v/>
      </c>
      <c r="S133" s="11">
        <f>IF(OR(COUNT(C133:E133,G133:H133)&lt;5,SUM(G133:H133)&lt;=0),"",9.81*(C133*G133/SUM(G133:H133)+E133))</f>
        <v/>
      </c>
    </row>
    <row r="134" spans="1:19" ht="32" customHeight="1">
      <c r="A134" s="8" t="s">
        <v>147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1">
        <f>IF(COUNT(G134:H134)&lt;2,"",G134+H134)</f>
        <v/>
      </c>
      <c r="R134" s="11">
        <f>IF(OR(COUNT(C134:E134,G134:H134)&lt;5,SUM(G134:H134)&lt;=0),"",9.81*(C134*H134/SUM(G134:H134)+D134))</f>
        <v/>
      </c>
      <c r="S134" s="11">
        <f>IF(OR(COUNT(C134:E134,G134:H134)&lt;5,SUM(G134:H134)&lt;=0),"",9.81*(C134*G134/SUM(G134:H134)+E134))</f>
        <v/>
      </c>
    </row>
    <row r="135" spans="1:19" ht="32" customHeight="1">
      <c r="A135" s="8" t="s">
        <v>148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1">
        <f>IF(COUNT(G135:H135)&lt;2,"",G135+H135)</f>
        <v/>
      </c>
      <c r="R135" s="11">
        <f>IF(OR(COUNT(C135:E135,G135:H135)&lt;5,SUM(G135:H135)&lt;=0),"",9.81*(C135*H135/SUM(G135:H135)+D135))</f>
        <v/>
      </c>
      <c r="S135" s="11">
        <f>IF(OR(COUNT(C135:E135,G135:H135)&lt;5,SUM(G135:H135)&lt;=0),"",9.81*(C135*G135/SUM(G135:H135)+E135))</f>
        <v/>
      </c>
    </row>
    <row r="136" spans="1:19" ht="32" customHeight="1">
      <c r="A136" s="8" t="s">
        <v>149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1">
        <f>IF(COUNT(G136:H136)&lt;2,"",G136+H136)</f>
        <v/>
      </c>
      <c r="R136" s="11">
        <f>IF(OR(COUNT(C136:E136,G136:H136)&lt;5,SUM(G136:H136)&lt;=0),"",9.81*(C136*H136/SUM(G136:H136)+D136))</f>
        <v/>
      </c>
      <c r="S136" s="11">
        <f>IF(OR(COUNT(C136:E136,G136:H136)&lt;5,SUM(G136:H136)&lt;=0),"",9.81*(C136*G136/SUM(G136:H136)+E136))</f>
        <v/>
      </c>
    </row>
    <row r="137" spans="1:19" ht="32" customHeight="1">
      <c r="A137" s="8" t="s">
        <v>150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1">
        <f>IF(COUNT(G137:H137)&lt;2,"",G137+H137)</f>
        <v/>
      </c>
      <c r="R137" s="11">
        <f>IF(OR(COUNT(C137:E137,G137:H137)&lt;5,SUM(G137:H137)&lt;=0),"",9.81*(C137*H137/SUM(G137:H137)+D137))</f>
        <v/>
      </c>
      <c r="S137" s="11">
        <f>IF(OR(COUNT(C137:E137,G137:H137)&lt;5,SUM(G137:H137)&lt;=0),"",9.81*(C137*G137/SUM(G137:H137)+E137))</f>
        <v/>
      </c>
    </row>
    <row r="138" spans="1:19" ht="32" customHeight="1">
      <c r="A138" s="8" t="s">
        <v>151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1">
        <f>IF(COUNT(G138:H138)&lt;2,"",G138+H138)</f>
        <v/>
      </c>
      <c r="R138" s="11">
        <f>IF(OR(COUNT(C138:E138,G138:H138)&lt;5,SUM(G138:H138)&lt;=0),"",9.81*(C138*H138/SUM(G138:H138)+D138))</f>
        <v/>
      </c>
      <c r="S138" s="11">
        <f>IF(OR(COUNT(C138:E138,G138:H138)&lt;5,SUM(G138:H138)&lt;=0),"",9.81*(C138*G138/SUM(G138:H138)+E138))</f>
        <v/>
      </c>
    </row>
    <row r="139" spans="1:19" ht="32" customHeight="1">
      <c r="A139" s="8" t="s">
        <v>152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1">
        <f>IF(COUNT(G139:H139)&lt;2,"",G139+H139)</f>
        <v/>
      </c>
      <c r="R139" s="11">
        <f>IF(OR(COUNT(C139:E139,G139:H139)&lt;5,SUM(G139:H139)&lt;=0),"",9.81*(C139*H139/SUM(G139:H139)+D139))</f>
        <v/>
      </c>
      <c r="S139" s="11">
        <f>IF(OR(COUNT(C139:E139,G139:H139)&lt;5,SUM(G139:H139)&lt;=0),"",9.81*(C139*G139/SUM(G139:H139)+E139))</f>
        <v/>
      </c>
    </row>
    <row r="140" spans="1:19" ht="32" customHeight="1">
      <c r="A140" s="8" t="s">
        <v>153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1">
        <f>IF(COUNT(G140:H140)&lt;2,"",G140+H140)</f>
        <v/>
      </c>
      <c r="R140" s="11">
        <f>IF(OR(COUNT(C140:E140,G140:H140)&lt;5,SUM(G140:H140)&lt;=0),"",9.81*(C140*H140/SUM(G140:H140)+D140))</f>
        <v/>
      </c>
      <c r="S140" s="11">
        <f>IF(OR(COUNT(C140:E140,G140:H140)&lt;5,SUM(G140:H140)&lt;=0),"",9.81*(C140*G140/SUM(G140:H140)+E140))</f>
        <v/>
      </c>
    </row>
    <row r="141" spans="1:19" ht="32" customHeight="1">
      <c r="A141" s="8" t="s">
        <v>154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1">
        <f>IF(COUNT(G141:H141)&lt;2,"",G141+H141)</f>
        <v/>
      </c>
      <c r="R141" s="11">
        <f>IF(OR(COUNT(C141:E141,G141:H141)&lt;5,SUM(G141:H141)&lt;=0),"",9.81*(C141*H141/SUM(G141:H141)+D141))</f>
        <v/>
      </c>
      <c r="S141" s="11">
        <f>IF(OR(COUNT(C141:E141,G141:H141)&lt;5,SUM(G141:H141)&lt;=0),"",9.81*(C141*G141/SUM(G141:H141)+E141))</f>
        <v/>
      </c>
    </row>
    <row r="142" spans="1:19" ht="32" customHeight="1">
      <c r="A142" s="8" t="s">
        <v>155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1">
        <f>IF(COUNT(G142:H142)&lt;2,"",G142+H142)</f>
        <v/>
      </c>
      <c r="R142" s="11">
        <f>IF(OR(COUNT(C142:E142,G142:H142)&lt;5,SUM(G142:H142)&lt;=0),"",9.81*(C142*H142/SUM(G142:H142)+D142))</f>
        <v/>
      </c>
      <c r="S142" s="11">
        <f>IF(OR(COUNT(C142:E142,G142:H142)&lt;5,SUM(G142:H142)&lt;=0),"",9.81*(C142*G142/SUM(G142:H142)+E142))</f>
        <v/>
      </c>
    </row>
    <row r="143" spans="1:19" ht="32" customHeight="1">
      <c r="A143" s="8" t="s">
        <v>156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1">
        <f>IF(COUNT(G143:H143)&lt;2,"",G143+H143)</f>
        <v/>
      </c>
      <c r="R143" s="11">
        <f>IF(OR(COUNT(C143:E143,G143:H143)&lt;5,SUM(G143:H143)&lt;=0),"",9.81*(C143*H143/SUM(G143:H143)+D143))</f>
        <v/>
      </c>
      <c r="S143" s="11">
        <f>IF(OR(COUNT(C143:E143,G143:H143)&lt;5,SUM(G143:H143)&lt;=0),"",9.81*(C143*G143/SUM(G143:H143)+E143))</f>
        <v/>
      </c>
    </row>
    <row r="144" spans="1:19" ht="32" customHeight="1">
      <c r="A144" s="8" t="s">
        <v>157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1">
        <f>IF(COUNT(G144:H144)&lt;2,"",G144+H144)</f>
        <v/>
      </c>
      <c r="R144" s="11">
        <f>IF(OR(COUNT(C144:E144,G144:H144)&lt;5,SUM(G144:H144)&lt;=0),"",9.81*(C144*H144/SUM(G144:H144)+D144))</f>
        <v/>
      </c>
      <c r="S144" s="11">
        <f>IF(OR(COUNT(C144:E144,G144:H144)&lt;5,SUM(G144:H144)&lt;=0),"",9.81*(C144*G144/SUM(G144:H144)+E144))</f>
        <v/>
      </c>
    </row>
    <row r="145" spans="1:19" ht="32" customHeight="1">
      <c r="A145" s="8" t="s">
        <v>158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1">
        <f>IF(COUNT(G145:H145)&lt;2,"",G145+H145)</f>
        <v/>
      </c>
      <c r="R145" s="11">
        <f>IF(OR(COUNT(C145:E145,G145:H145)&lt;5,SUM(G145:H145)&lt;=0),"",9.81*(C145*H145/SUM(G145:H145)+D145))</f>
        <v/>
      </c>
      <c r="S145" s="11">
        <f>IF(OR(COUNT(C145:E145,G145:H145)&lt;5,SUM(G145:H145)&lt;=0),"",9.81*(C145*G145/SUM(G145:H145)+E145))</f>
        <v/>
      </c>
    </row>
    <row r="146" spans="1:19" ht="32" customHeight="1">
      <c r="A146" s="8" t="s">
        <v>159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1">
        <f>IF(COUNT(G146:H146)&lt;2,"",G146+H146)</f>
        <v/>
      </c>
      <c r="R146" s="11">
        <f>IF(OR(COUNT(C146:E146,G146:H146)&lt;5,SUM(G146:H146)&lt;=0),"",9.81*(C146*H146/SUM(G146:H146)+D146))</f>
        <v/>
      </c>
      <c r="S146" s="11">
        <f>IF(OR(COUNT(C146:E146,G146:H146)&lt;5,SUM(G146:H146)&lt;=0),"",9.81*(C146*G146/SUM(G146:H146)+E146))</f>
        <v/>
      </c>
    </row>
    <row r="147" spans="1:19" ht="32" customHeight="1">
      <c r="A147" s="8" t="s">
        <v>160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1">
        <f>IF(COUNT(G147:H147)&lt;2,"",G147+H147)</f>
        <v/>
      </c>
      <c r="R147" s="11">
        <f>IF(OR(COUNT(C147:E147,G147:H147)&lt;5,SUM(G147:H147)&lt;=0),"",9.81*(C147*H147/SUM(G147:H147)+D147))</f>
        <v/>
      </c>
      <c r="S147" s="11">
        <f>IF(OR(COUNT(C147:E147,G147:H147)&lt;5,SUM(G147:H147)&lt;=0),"",9.81*(C147*G147/SUM(G147:H147)+E147))</f>
        <v/>
      </c>
    </row>
    <row r="148" spans="1:19" ht="32" customHeight="1">
      <c r="A148" s="8" t="s">
        <v>161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1">
        <f>IF(COUNT(G148:H148)&lt;2,"",G148+H148)</f>
        <v/>
      </c>
      <c r="R148" s="11">
        <f>IF(OR(COUNT(C148:E148,G148:H148)&lt;5,SUM(G148:H148)&lt;=0),"",9.81*(C148*H148/SUM(G148:H148)+D148))</f>
        <v/>
      </c>
      <c r="S148" s="11">
        <f>IF(OR(COUNT(C148:E148,G148:H148)&lt;5,SUM(G148:H148)&lt;=0),"",9.81*(C148*G148/SUM(G148:H148)+E148))</f>
        <v/>
      </c>
    </row>
    <row r="149" spans="1:19" ht="32" customHeight="1">
      <c r="A149" s="8" t="s">
        <v>162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1">
        <f>IF(COUNT(G149:H149)&lt;2,"",G149+H149)</f>
        <v/>
      </c>
      <c r="R149" s="11">
        <f>IF(OR(COUNT(C149:E149,G149:H149)&lt;5,SUM(G149:H149)&lt;=0),"",9.81*(C149*H149/SUM(G149:H149)+D149))</f>
        <v/>
      </c>
      <c r="S149" s="11">
        <f>IF(OR(COUNT(C149:E149,G149:H149)&lt;5,SUM(G149:H149)&lt;=0),"",9.81*(C149*G149/SUM(G149:H149)+E149))</f>
        <v/>
      </c>
    </row>
    <row r="150" spans="1:19" ht="32" customHeight="1">
      <c r="A150" s="8" t="s">
        <v>163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1">
        <f>IF(COUNT(G150:H150)&lt;2,"",G150+H150)</f>
        <v/>
      </c>
      <c r="R150" s="11">
        <f>IF(OR(COUNT(C150:E150,G150:H150)&lt;5,SUM(G150:H150)&lt;=0),"",9.81*(C150*H150/SUM(G150:H150)+D150))</f>
        <v/>
      </c>
      <c r="S150" s="11">
        <f>IF(OR(COUNT(C150:E150,G150:H150)&lt;5,SUM(G150:H150)&lt;=0),"",9.81*(C150*G150/SUM(G150:H150)+E150))</f>
        <v/>
      </c>
    </row>
    <row r="151" spans="1:19" ht="32" customHeight="1">
      <c r="A151" s="8" t="s">
        <v>164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1">
        <f>IF(COUNT(G151:H151)&lt;2,"",G151+H151)</f>
        <v/>
      </c>
      <c r="R151" s="11">
        <f>IF(OR(COUNT(C151:E151,G151:H151)&lt;5,SUM(G151:H151)&lt;=0),"",9.81*(C151*H151/SUM(G151:H151)+D151))</f>
        <v/>
      </c>
      <c r="S151" s="11">
        <f>IF(OR(COUNT(C151:E151,G151:H151)&lt;5,SUM(G151:H151)&lt;=0),"",9.81*(C151*G151/SUM(G151:H151)+E151))</f>
        <v/>
      </c>
    </row>
    <row r="152" spans="1:19" ht="32" customHeight="1">
      <c r="A152" s="8" t="s">
        <v>165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1">
        <f>IF(COUNT(G152:H152)&lt;2,"",G152+H152)</f>
        <v/>
      </c>
      <c r="R152" s="11">
        <f>IF(OR(COUNT(C152:E152,G152:H152)&lt;5,SUM(G152:H152)&lt;=0),"",9.81*(C152*H152/SUM(G152:H152)+D152))</f>
        <v/>
      </c>
      <c r="S152" s="11">
        <f>IF(OR(COUNT(C152:E152,G152:H152)&lt;5,SUM(G152:H152)&lt;=0),"",9.81*(C152*G152/SUM(G152:H152)+E152))</f>
        <v/>
      </c>
    </row>
    <row r="153" spans="1:19" ht="32" customHeight="1">
      <c r="A153" s="8" t="s">
        <v>166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1">
        <f>IF(COUNT(G153:H153)&lt;2,"",G153+H153)</f>
        <v/>
      </c>
      <c r="R153" s="11">
        <f>IF(OR(COUNT(C153:E153,G153:H153)&lt;5,SUM(G153:H153)&lt;=0),"",9.81*(C153*H153/SUM(G153:H153)+D153))</f>
        <v/>
      </c>
      <c r="S153" s="11">
        <f>IF(OR(COUNT(C153:E153,G153:H153)&lt;5,SUM(G153:H153)&lt;=0),"",9.81*(C153*G153/SUM(G153:H153)+E153))</f>
        <v/>
      </c>
    </row>
    <row r="154" spans="1:19" ht="32" customHeight="1">
      <c r="A154" s="8" t="s">
        <v>167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1">
        <f>IF(COUNT(G154:H154)&lt;2,"",G154+H154)</f>
        <v/>
      </c>
      <c r="R154" s="11">
        <f>IF(OR(COUNT(C154:E154,G154:H154)&lt;5,SUM(G154:H154)&lt;=0),"",9.81*(C154*H154/SUM(G154:H154)+D154))</f>
        <v/>
      </c>
      <c r="S154" s="11">
        <f>IF(OR(COUNT(C154:E154,G154:H154)&lt;5,SUM(G154:H154)&lt;=0),"",9.81*(C154*G154/SUM(G154:H154)+E154))</f>
        <v/>
      </c>
    </row>
    <row r="155" spans="1:19" ht="32" customHeight="1">
      <c r="A155" s="8" t="s">
        <v>168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1">
        <f>IF(COUNT(G155:H155)&lt;2,"",G155+H155)</f>
        <v/>
      </c>
      <c r="R155" s="11">
        <f>IF(OR(COUNT(C155:E155,G155:H155)&lt;5,SUM(G155:H155)&lt;=0),"",9.81*(C155*H155/SUM(G155:H155)+D155))</f>
        <v/>
      </c>
      <c r="S155" s="11">
        <f>IF(OR(COUNT(C155:E155,G155:H155)&lt;5,SUM(G155:H155)&lt;=0),"",9.81*(C155*G155/SUM(G155:H155)+E155))</f>
        <v/>
      </c>
    </row>
    <row r="156" spans="1:19" ht="32" customHeight="1">
      <c r="A156" s="8" t="s">
        <v>169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1">
        <f>IF(COUNT(G156:H156)&lt;2,"",G156+H156)</f>
        <v/>
      </c>
      <c r="R156" s="11">
        <f>IF(OR(COUNT(C156:E156,G156:H156)&lt;5,SUM(G156:H156)&lt;=0),"",9.81*(C156*H156/SUM(G156:H156)+D156))</f>
        <v/>
      </c>
      <c r="S156" s="11">
        <f>IF(OR(COUNT(C156:E156,G156:H156)&lt;5,SUM(G156:H156)&lt;=0),"",9.81*(C156*G156/SUM(G156:H156)+E156))</f>
        <v/>
      </c>
    </row>
    <row r="157" spans="1:19" ht="32" customHeight="1">
      <c r="A157" s="8" t="s">
        <v>170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1">
        <f>IF(COUNT(G157:H157)&lt;2,"",G157+H157)</f>
        <v/>
      </c>
      <c r="R157" s="11">
        <f>IF(OR(COUNT(C157:E157,G157:H157)&lt;5,SUM(G157:H157)&lt;=0),"",9.81*(C157*H157/SUM(G157:H157)+D157))</f>
        <v/>
      </c>
      <c r="S157" s="11">
        <f>IF(OR(COUNT(C157:E157,G157:H157)&lt;5,SUM(G157:H157)&lt;=0),"",9.81*(C157*G157/SUM(G157:H157)+E157))</f>
        <v/>
      </c>
    </row>
    <row r="158" spans="1:19" ht="32" customHeight="1">
      <c r="A158" s="8" t="s">
        <v>171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1">
        <f>IF(COUNT(G158:H158)&lt;2,"",G158+H158)</f>
        <v/>
      </c>
      <c r="R158" s="11">
        <f>IF(OR(COUNT(C158:E158,G158:H158)&lt;5,SUM(G158:H158)&lt;=0),"",9.81*(C158*H158/SUM(G158:H158)+D158))</f>
        <v/>
      </c>
      <c r="S158" s="11">
        <f>IF(OR(COUNT(C158:E158,G158:H158)&lt;5,SUM(G158:H158)&lt;=0),"",9.81*(C158*G158/SUM(G158:H158)+E158))</f>
        <v/>
      </c>
    </row>
    <row r="159" spans="1:19" ht="32" customHeight="1">
      <c r="A159" s="8" t="s">
        <v>172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1">
        <f>IF(COUNT(G159:H159)&lt;2,"",G159+H159)</f>
        <v/>
      </c>
      <c r="R159" s="11">
        <f>IF(OR(COUNT(C159:E159,G159:H159)&lt;5,SUM(G159:H159)&lt;=0),"",9.81*(C159*H159/SUM(G159:H159)+D159))</f>
        <v/>
      </c>
      <c r="S159" s="11">
        <f>IF(OR(COUNT(C159:E159,G159:H159)&lt;5,SUM(G159:H159)&lt;=0),"",9.81*(C159*G159/SUM(G159:H159)+E159))</f>
        <v/>
      </c>
    </row>
    <row r="160" spans="1:19" ht="32" customHeight="1">
      <c r="A160" s="8" t="s">
        <v>173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1">
        <f>IF(COUNT(G160:H160)&lt;2,"",G160+H160)</f>
        <v/>
      </c>
      <c r="R160" s="11">
        <f>IF(OR(COUNT(C160:E160,G160:H160)&lt;5,SUM(G160:H160)&lt;=0),"",9.81*(C160*H160/SUM(G160:H160)+D160))</f>
        <v/>
      </c>
      <c r="S160" s="11">
        <f>IF(OR(COUNT(C160:E160,G160:H160)&lt;5,SUM(G160:H160)&lt;=0),"",9.81*(C160*G160/SUM(G160:H160)+E160))</f>
        <v/>
      </c>
    </row>
    <row r="161" spans="1:19" ht="32" customHeight="1">
      <c r="A161" s="8" t="s">
        <v>174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1">
        <f>IF(COUNT(G161:H161)&lt;2,"",G161+H161)</f>
        <v/>
      </c>
      <c r="R161" s="11">
        <f>IF(OR(COUNT(C161:E161,G161:H161)&lt;5,SUM(G161:H161)&lt;=0),"",9.81*(C161*H161/SUM(G161:H161)+D161))</f>
        <v/>
      </c>
      <c r="S161" s="11">
        <f>IF(OR(COUNT(C161:E161,G161:H161)&lt;5,SUM(G161:H161)&lt;=0),"",9.81*(C161*G161/SUM(G161:H161)+E161))</f>
        <v/>
      </c>
    </row>
    <row r="162" spans="1:19" ht="32" customHeight="1">
      <c r="A162" s="8" t="s">
        <v>175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1">
        <f>IF(COUNT(G162:H162)&lt;2,"",G162+H162)</f>
        <v/>
      </c>
      <c r="R162" s="11">
        <f>IF(OR(COUNT(C162:E162,G162:H162)&lt;5,SUM(G162:H162)&lt;=0),"",9.81*(C162*H162/SUM(G162:H162)+D162))</f>
        <v/>
      </c>
      <c r="S162" s="11">
        <f>IF(OR(COUNT(C162:E162,G162:H162)&lt;5,SUM(G162:H162)&lt;=0),"",9.81*(C162*G162/SUM(G162:H162)+E162))</f>
        <v/>
      </c>
    </row>
    <row r="163" spans="1:19" ht="32" customHeight="1">
      <c r="A163" s="8" t="s">
        <v>176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1">
        <f>IF(COUNT(G163:H163)&lt;2,"",G163+H163)</f>
        <v/>
      </c>
      <c r="R163" s="11">
        <f>IF(OR(COUNT(C163:E163,G163:H163)&lt;5,SUM(G163:H163)&lt;=0),"",9.81*(C163*H163/SUM(G163:H163)+D163))</f>
        <v/>
      </c>
      <c r="S163" s="11">
        <f>IF(OR(COUNT(C163:E163,G163:H163)&lt;5,SUM(G163:H163)&lt;=0),"",9.81*(C163*G163/SUM(G163:H163)+E163))</f>
        <v/>
      </c>
    </row>
    <row r="164" spans="1:19" ht="32" customHeight="1">
      <c r="A164" s="8" t="s">
        <v>177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1">
        <f>IF(COUNT(G164:H164)&lt;2,"",G164+H164)</f>
        <v/>
      </c>
      <c r="R164" s="11">
        <f>IF(OR(COUNT(C164:E164,G164:H164)&lt;5,SUM(G164:H164)&lt;=0),"",9.81*(C164*H164/SUM(G164:H164)+D164))</f>
        <v/>
      </c>
      <c r="S164" s="11">
        <f>IF(OR(COUNT(C164:E164,G164:H164)&lt;5,SUM(G164:H164)&lt;=0),"",9.81*(C164*G164/SUM(G164:H164)+E164))</f>
        <v/>
      </c>
    </row>
    <row r="165" spans="1:19" ht="32" customHeight="1">
      <c r="A165" s="8" t="s">
        <v>178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1">
        <f>IF(COUNT(G165:H165)&lt;2,"",G165+H165)</f>
        <v/>
      </c>
      <c r="R165" s="11">
        <f>IF(OR(COUNT(C165:E165,G165:H165)&lt;5,SUM(G165:H165)&lt;=0),"",9.81*(C165*H165/SUM(G165:H165)+D165))</f>
        <v/>
      </c>
      <c r="S165" s="11">
        <f>IF(OR(COUNT(C165:E165,G165:H165)&lt;5,SUM(G165:H165)&lt;=0),"",9.81*(C165*G165/SUM(G165:H165)+E165))</f>
        <v/>
      </c>
    </row>
    <row r="166" spans="1:19" ht="32" customHeight="1">
      <c r="A166" s="8" t="s">
        <v>179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1">
        <f>IF(COUNT(G166:H166)&lt;2,"",G166+H166)</f>
        <v/>
      </c>
      <c r="R166" s="11">
        <f>IF(OR(COUNT(C166:E166,G166:H166)&lt;5,SUM(G166:H166)&lt;=0),"",9.81*(C166*H166/SUM(G166:H166)+D166))</f>
        <v/>
      </c>
      <c r="S166" s="11">
        <f>IF(OR(COUNT(C166:E166,G166:H166)&lt;5,SUM(G166:H166)&lt;=0),"",9.81*(C166*G166/SUM(G166:H166)+E166))</f>
        <v/>
      </c>
    </row>
    <row r="167" spans="1:19" ht="32" customHeight="1">
      <c r="A167" s="8" t="s">
        <v>180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1">
        <f>IF(COUNT(G167:H167)&lt;2,"",G167+H167)</f>
        <v/>
      </c>
      <c r="R167" s="11">
        <f>IF(OR(COUNT(C167:E167,G167:H167)&lt;5,SUM(G167:H167)&lt;=0),"",9.81*(C167*H167/SUM(G167:H167)+D167))</f>
        <v/>
      </c>
      <c r="S167" s="11">
        <f>IF(OR(COUNT(C167:E167,G167:H167)&lt;5,SUM(G167:H167)&lt;=0),"",9.81*(C167*G167/SUM(G167:H167)+E167))</f>
        <v/>
      </c>
    </row>
    <row r="168" spans="1:19" ht="32" customHeight="1">
      <c r="A168" s="8" t="s">
        <v>181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1">
        <f>IF(COUNT(G168:H168)&lt;2,"",G168+H168)</f>
        <v/>
      </c>
      <c r="R168" s="11">
        <f>IF(OR(COUNT(C168:E168,G168:H168)&lt;5,SUM(G168:H168)&lt;=0),"",9.81*(C168*H168/SUM(G168:H168)+D168))</f>
        <v/>
      </c>
      <c r="S168" s="11">
        <f>IF(OR(COUNT(C168:E168,G168:H168)&lt;5,SUM(G168:H168)&lt;=0),"",9.81*(C168*G168/SUM(G168:H168)+E168))</f>
        <v/>
      </c>
    </row>
    <row r="169" spans="1:19" ht="32" customHeight="1">
      <c r="A169" s="8" t="s">
        <v>182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1">
        <f>IF(COUNT(G169:H169)&lt;2,"",G169+H169)</f>
        <v/>
      </c>
      <c r="R169" s="11">
        <f>IF(OR(COUNT(C169:E169,G169:H169)&lt;5,SUM(G169:H169)&lt;=0),"",9.81*(C169*H169/SUM(G169:H169)+D169))</f>
        <v/>
      </c>
      <c r="S169" s="11">
        <f>IF(OR(COUNT(C169:E169,G169:H169)&lt;5,SUM(G169:H169)&lt;=0),"",9.81*(C169*G169/SUM(G169:H169)+E169))</f>
        <v/>
      </c>
    </row>
    <row r="170" spans="1:19" ht="32" customHeight="1">
      <c r="A170" s="8" t="s">
        <v>183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1">
        <f>IF(COUNT(G170:H170)&lt;2,"",G170+H170)</f>
        <v/>
      </c>
      <c r="R170" s="11">
        <f>IF(OR(COUNT(C170:E170,G170:H170)&lt;5,SUM(G170:H170)&lt;=0),"",9.81*(C170*H170/SUM(G170:H170)+D170))</f>
        <v/>
      </c>
      <c r="S170" s="11">
        <f>IF(OR(COUNT(C170:E170,G170:H170)&lt;5,SUM(G170:H170)&lt;=0),"",9.81*(C170*G170/SUM(G170:H170)+E170))</f>
        <v/>
      </c>
    </row>
    <row r="171" spans="1:19" ht="32" customHeight="1">
      <c r="A171" s="8" t="s">
        <v>184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1">
        <f>IF(COUNT(G171:H171)&lt;2,"",G171+H171)</f>
        <v/>
      </c>
      <c r="R171" s="11">
        <f>IF(OR(COUNT(C171:E171,G171:H171)&lt;5,SUM(G171:H171)&lt;=0),"",9.81*(C171*H171/SUM(G171:H171)+D171))</f>
        <v/>
      </c>
      <c r="S171" s="11">
        <f>IF(OR(COUNT(C171:E171,G171:H171)&lt;5,SUM(G171:H171)&lt;=0),"",9.81*(C171*G171/SUM(G171:H171)+E171))</f>
        <v/>
      </c>
    </row>
    <row r="172" spans="1:19" ht="32" customHeight="1">
      <c r="A172" s="8" t="s">
        <v>185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1">
        <f>IF(COUNT(G172:H172)&lt;2,"",G172+H172)</f>
        <v/>
      </c>
      <c r="R172" s="11">
        <f>IF(OR(COUNT(C172:E172,G172:H172)&lt;5,SUM(G172:H172)&lt;=0),"",9.81*(C172*H172/SUM(G172:H172)+D172))</f>
        <v/>
      </c>
      <c r="S172" s="11">
        <f>IF(OR(COUNT(C172:E172,G172:H172)&lt;5,SUM(G172:H172)&lt;=0),"",9.81*(C172*G172/SUM(G172:H172)+E172))</f>
        <v/>
      </c>
    </row>
    <row r="173" spans="1:19" ht="32" customHeight="1">
      <c r="A173" s="8" t="s">
        <v>186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1">
        <f>IF(COUNT(G173:H173)&lt;2,"",G173+H173)</f>
        <v/>
      </c>
      <c r="R173" s="11">
        <f>IF(OR(COUNT(C173:E173,G173:H173)&lt;5,SUM(G173:H173)&lt;=0),"",9.81*(C173*H173/SUM(G173:H173)+D173))</f>
        <v/>
      </c>
      <c r="S173" s="11">
        <f>IF(OR(COUNT(C173:E173,G173:H173)&lt;5,SUM(G173:H173)&lt;=0),"",9.81*(C173*G173/SUM(G173:H173)+E173))</f>
        <v/>
      </c>
    </row>
    <row r="174" spans="1:19" ht="32" customHeight="1">
      <c r="A174" s="8" t="s">
        <v>187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1">
        <f>IF(COUNT(G174:H174)&lt;2,"",G174+H174)</f>
        <v/>
      </c>
      <c r="R174" s="11">
        <f>IF(OR(COUNT(C174:E174,G174:H174)&lt;5,SUM(G174:H174)&lt;=0),"",9.81*(C174*H174/SUM(G174:H174)+D174))</f>
        <v/>
      </c>
      <c r="S174" s="11">
        <f>IF(OR(COUNT(C174:E174,G174:H174)&lt;5,SUM(G174:H174)&lt;=0),"",9.81*(C174*G174/SUM(G174:H174)+E174))</f>
        <v/>
      </c>
    </row>
    <row r="175" spans="1:19" ht="32" customHeight="1">
      <c r="A175" s="8" t="s">
        <v>188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1">
        <f>IF(COUNT(G175:H175)&lt;2,"",G175+H175)</f>
        <v/>
      </c>
      <c r="R175" s="11">
        <f>IF(OR(COUNT(C175:E175,G175:H175)&lt;5,SUM(G175:H175)&lt;=0),"",9.81*(C175*H175/SUM(G175:H175)+D175))</f>
        <v/>
      </c>
      <c r="S175" s="11">
        <f>IF(OR(COUNT(C175:E175,G175:H175)&lt;5,SUM(G175:H175)&lt;=0),"",9.81*(C175*G175/SUM(G175:H175)+E175))</f>
        <v/>
      </c>
    </row>
    <row r="176" spans="1:19" ht="32" customHeight="1">
      <c r="A176" s="8" t="s">
        <v>189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1">
        <f>IF(COUNT(G176:H176)&lt;2,"",G176+H176)</f>
        <v/>
      </c>
      <c r="R176" s="11">
        <f>IF(OR(COUNT(C176:E176,G176:H176)&lt;5,SUM(G176:H176)&lt;=0),"",9.81*(C176*H176/SUM(G176:H176)+D176))</f>
        <v/>
      </c>
      <c r="S176" s="11">
        <f>IF(OR(COUNT(C176:E176,G176:H176)&lt;5,SUM(G176:H176)&lt;=0),"",9.81*(C176*G176/SUM(G176:H176)+E176))</f>
        <v/>
      </c>
    </row>
    <row r="177" spans="1:19" ht="32" customHeight="1">
      <c r="A177" s="8" t="s">
        <v>190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1">
        <f>IF(COUNT(G177:H177)&lt;2,"",G177+H177)</f>
        <v/>
      </c>
      <c r="R177" s="11">
        <f>IF(OR(COUNT(C177:E177,G177:H177)&lt;5,SUM(G177:H177)&lt;=0),"",9.81*(C177*H177/SUM(G177:H177)+D177))</f>
        <v/>
      </c>
      <c r="S177" s="11">
        <f>IF(OR(COUNT(C177:E177,G177:H177)&lt;5,SUM(G177:H177)&lt;=0),"",9.81*(C177*G177/SUM(G177:H177)+E177))</f>
        <v/>
      </c>
    </row>
    <row r="178" spans="1:19" ht="32" customHeight="1">
      <c r="A178" s="8" t="s">
        <v>191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1">
        <f>IF(COUNT(G178:H178)&lt;2,"",G178+H178)</f>
        <v/>
      </c>
      <c r="R178" s="11">
        <f>IF(OR(COUNT(C178:E178,G178:H178)&lt;5,SUM(G178:H178)&lt;=0),"",9.81*(C178*H178/SUM(G178:H178)+D178))</f>
        <v/>
      </c>
      <c r="S178" s="11">
        <f>IF(OR(COUNT(C178:E178,G178:H178)&lt;5,SUM(G178:H178)&lt;=0),"",9.81*(C178*G178/SUM(G178:H178)+E178))</f>
        <v/>
      </c>
    </row>
    <row r="179" spans="1:19" ht="32" customHeight="1">
      <c r="A179" s="8" t="s">
        <v>192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1">
        <f>IF(COUNT(G179:H179)&lt;2,"",G179+H179)</f>
        <v/>
      </c>
      <c r="R179" s="11">
        <f>IF(OR(COUNT(C179:E179,G179:H179)&lt;5,SUM(G179:H179)&lt;=0),"",9.81*(C179*H179/SUM(G179:H179)+D179))</f>
        <v/>
      </c>
      <c r="S179" s="11">
        <f>IF(OR(COUNT(C179:E179,G179:H179)&lt;5,SUM(G179:H179)&lt;=0),"",9.81*(C179*G179/SUM(G179:H179)+E179))</f>
        <v/>
      </c>
    </row>
    <row r="180" spans="1:19" ht="32" customHeight="1">
      <c r="A180" s="8" t="s">
        <v>193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1">
        <f>IF(COUNT(G180:H180)&lt;2,"",G180+H180)</f>
        <v/>
      </c>
      <c r="R180" s="11">
        <f>IF(OR(COUNT(C180:E180,G180:H180)&lt;5,SUM(G180:H180)&lt;=0),"",9.81*(C180*H180/SUM(G180:H180)+D180))</f>
        <v/>
      </c>
      <c r="S180" s="11">
        <f>IF(OR(COUNT(C180:E180,G180:H180)&lt;5,SUM(G180:H180)&lt;=0),"",9.81*(C180*G180/SUM(G180:H180)+E180))</f>
        <v/>
      </c>
    </row>
    <row r="181" spans="1:19" ht="32" customHeight="1">
      <c r="A181" s="8" t="s">
        <v>194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1">
        <f>IF(COUNT(G181:H181)&lt;2,"",G181+H181)</f>
        <v/>
      </c>
      <c r="R181" s="11">
        <f>IF(OR(COUNT(C181:E181,G181:H181)&lt;5,SUM(G181:H181)&lt;=0),"",9.81*(C181*H181/SUM(G181:H181)+D181))</f>
        <v/>
      </c>
      <c r="S181" s="11">
        <f>IF(OR(COUNT(C181:E181,G181:H181)&lt;5,SUM(G181:H181)&lt;=0),"",9.81*(C181*G181/SUM(G181:H181)+E181))</f>
        <v/>
      </c>
    </row>
    <row r="182" spans="1:19" ht="32" customHeight="1">
      <c r="A182" s="8" t="s">
        <v>195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1">
        <f>IF(COUNT(G182:H182)&lt;2,"",G182+H182)</f>
        <v/>
      </c>
      <c r="R182" s="11">
        <f>IF(OR(COUNT(C182:E182,G182:H182)&lt;5,SUM(G182:H182)&lt;=0),"",9.81*(C182*H182/SUM(G182:H182)+D182))</f>
        <v/>
      </c>
      <c r="S182" s="11">
        <f>IF(OR(COUNT(C182:E182,G182:H182)&lt;5,SUM(G182:H182)&lt;=0),"",9.81*(C182*G182/SUM(G182:H182)+E182))</f>
        <v/>
      </c>
    </row>
    <row r="183" spans="1:19" ht="32" customHeight="1">
      <c r="A183" s="8" t="s">
        <v>196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1">
        <f>IF(COUNT(G183:H183)&lt;2,"",G183+H183)</f>
        <v/>
      </c>
      <c r="R183" s="11">
        <f>IF(OR(COUNT(C183:E183,G183:H183)&lt;5,SUM(G183:H183)&lt;=0),"",9.81*(C183*H183/SUM(G183:H183)+D183))</f>
        <v/>
      </c>
      <c r="S183" s="11">
        <f>IF(OR(COUNT(C183:E183,G183:H183)&lt;5,SUM(G183:H183)&lt;=0),"",9.81*(C183*G183/SUM(G183:H183)+E183))</f>
        <v/>
      </c>
    </row>
    <row r="184" spans="1:19" ht="32" customHeight="1">
      <c r="A184" s="8" t="s">
        <v>197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1">
        <f>IF(COUNT(G184:H184)&lt;2,"",G184+H184)</f>
        <v/>
      </c>
      <c r="R184" s="11">
        <f>IF(OR(COUNT(C184:E184,G184:H184)&lt;5,SUM(G184:H184)&lt;=0),"",9.81*(C184*H184/SUM(G184:H184)+D184))</f>
        <v/>
      </c>
      <c r="S184" s="11">
        <f>IF(OR(COUNT(C184:E184,G184:H184)&lt;5,SUM(G184:H184)&lt;=0),"",9.81*(C184*G184/SUM(G184:H184)+E184))</f>
        <v/>
      </c>
    </row>
    <row r="185" spans="1:19" ht="32" customHeight="1">
      <c r="A185" s="8" t="s">
        <v>198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1">
        <f>IF(COUNT(G185:H185)&lt;2,"",G185+H185)</f>
        <v/>
      </c>
      <c r="R185" s="11">
        <f>IF(OR(COUNT(C185:E185,G185:H185)&lt;5,SUM(G185:H185)&lt;=0),"",9.81*(C185*H185/SUM(G185:H185)+D185))</f>
        <v/>
      </c>
      <c r="S185" s="11">
        <f>IF(OR(COUNT(C185:E185,G185:H185)&lt;5,SUM(G185:H185)&lt;=0),"",9.81*(C185*G185/SUM(G185:H185)+E185))</f>
        <v/>
      </c>
    </row>
    <row r="186" spans="1:19" ht="32" customHeight="1">
      <c r="A186" s="8" t="s">
        <v>199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1">
        <f>IF(COUNT(G186:H186)&lt;2,"",G186+H186)</f>
        <v/>
      </c>
      <c r="R186" s="11">
        <f>IF(OR(COUNT(C186:E186,G186:H186)&lt;5,SUM(G186:H186)&lt;=0),"",9.81*(C186*H186/SUM(G186:H186)+D186))</f>
        <v/>
      </c>
      <c r="S186" s="11">
        <f>IF(OR(COUNT(C186:E186,G186:H186)&lt;5,SUM(G186:H186)&lt;=0),"",9.81*(C186*G186/SUM(G186:H186)+E186))</f>
        <v/>
      </c>
    </row>
    <row r="187" spans="1:19" ht="32" customHeight="1">
      <c r="A187" s="8" t="s">
        <v>200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1">
        <f>IF(COUNT(G187:H187)&lt;2,"",G187+H187)</f>
        <v/>
      </c>
      <c r="R187" s="11">
        <f>IF(OR(COUNT(C187:E187,G187:H187)&lt;5,SUM(G187:H187)&lt;=0),"",9.81*(C187*H187/SUM(G187:H187)+D187))</f>
        <v/>
      </c>
      <c r="S187" s="11">
        <f>IF(OR(COUNT(C187:E187,G187:H187)&lt;5,SUM(G187:H187)&lt;=0),"",9.81*(C187*G187/SUM(G187:H187)+E187))</f>
        <v/>
      </c>
    </row>
    <row r="188" spans="1:19" ht="32" customHeight="1">
      <c r="A188" s="8" t="s">
        <v>201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1">
        <f>IF(COUNT(G188:H188)&lt;2,"",G188+H188)</f>
        <v/>
      </c>
      <c r="R188" s="11">
        <f>IF(OR(COUNT(C188:E188,G188:H188)&lt;5,SUM(G188:H188)&lt;=0),"",9.81*(C188*H188/SUM(G188:H188)+D188))</f>
        <v/>
      </c>
      <c r="S188" s="11">
        <f>IF(OR(COUNT(C188:E188,G188:H188)&lt;5,SUM(G188:H188)&lt;=0),"",9.81*(C188*G188/SUM(G188:H188)+E188))</f>
        <v/>
      </c>
    </row>
    <row r="189" spans="1:19" ht="32" customHeight="1">
      <c r="A189" s="8" t="s">
        <v>202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1">
        <f>IF(COUNT(G189:H189)&lt;2,"",G189+H189)</f>
        <v/>
      </c>
      <c r="R189" s="11">
        <f>IF(OR(COUNT(C189:E189,G189:H189)&lt;5,SUM(G189:H189)&lt;=0),"",9.81*(C189*H189/SUM(G189:H189)+D189))</f>
        <v/>
      </c>
      <c r="S189" s="11">
        <f>IF(OR(COUNT(C189:E189,G189:H189)&lt;5,SUM(G189:H189)&lt;=0),"",9.81*(C189*G189/SUM(G189:H189)+E189))</f>
        <v/>
      </c>
    </row>
    <row r="190" spans="1:19" ht="32" customHeight="1">
      <c r="A190" s="8" t="s">
        <v>203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1">
        <f>IF(COUNT(G190:H190)&lt;2,"",G190+H190)</f>
        <v/>
      </c>
      <c r="R190" s="11">
        <f>IF(OR(COUNT(C190:E190,G190:H190)&lt;5,SUM(G190:H190)&lt;=0),"",9.81*(C190*H190/SUM(G190:H190)+D190))</f>
        <v/>
      </c>
      <c r="S190" s="11">
        <f>IF(OR(COUNT(C190:E190,G190:H190)&lt;5,SUM(G190:H190)&lt;=0),"",9.81*(C190*G190/SUM(G190:H190)+E190))</f>
        <v/>
      </c>
    </row>
    <row r="191" spans="1:19" ht="32" customHeight="1">
      <c r="A191" s="8" t="s">
        <v>204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1">
        <f>IF(COUNT(G191:H191)&lt;2,"",G191+H191)</f>
        <v/>
      </c>
      <c r="R191" s="11">
        <f>IF(OR(COUNT(C191:E191,G191:H191)&lt;5,SUM(G191:H191)&lt;=0),"",9.81*(C191*H191/SUM(G191:H191)+D191))</f>
        <v/>
      </c>
      <c r="S191" s="11">
        <f>IF(OR(COUNT(C191:E191,G191:H191)&lt;5,SUM(G191:H191)&lt;=0),"",9.81*(C191*G191/SUM(G191:H191)+E191))</f>
        <v/>
      </c>
    </row>
    <row r="192" spans="1:19" ht="32" customHeight="1">
      <c r="A192" s="8" t="s">
        <v>205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1">
        <f>IF(COUNT(G192:H192)&lt;2,"",G192+H192)</f>
        <v/>
      </c>
      <c r="R192" s="11">
        <f>IF(OR(COUNT(C192:E192,G192:H192)&lt;5,SUM(G192:H192)&lt;=0),"",9.81*(C192*H192/SUM(G192:H192)+D192))</f>
        <v/>
      </c>
      <c r="S192" s="11">
        <f>IF(OR(COUNT(C192:E192,G192:H192)&lt;5,SUM(G192:H192)&lt;=0),"",9.81*(C192*G192/SUM(G192:H192)+E192))</f>
        <v/>
      </c>
    </row>
    <row r="193" spans="1:19" ht="32" customHeight="1">
      <c r="A193" s="8" t="s">
        <v>206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1">
        <f>IF(COUNT(G193:H193)&lt;2,"",G193+H193)</f>
        <v/>
      </c>
      <c r="R193" s="11">
        <f>IF(OR(COUNT(C193:E193,G193:H193)&lt;5,SUM(G193:H193)&lt;=0),"",9.81*(C193*H193/SUM(G193:H193)+D193))</f>
        <v/>
      </c>
      <c r="S193" s="11">
        <f>IF(OR(COUNT(C193:E193,G193:H193)&lt;5,SUM(G193:H193)&lt;=0),"",9.81*(C193*G193/SUM(G193:H193)+E193))</f>
        <v/>
      </c>
    </row>
    <row r="194" spans="1:19" ht="32" customHeight="1">
      <c r="A194" s="8" t="s">
        <v>207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1">
        <f>IF(COUNT(G194:H194)&lt;2,"",G194+H194)</f>
        <v/>
      </c>
      <c r="R194" s="11">
        <f>IF(OR(COUNT(C194:E194,G194:H194)&lt;5,SUM(G194:H194)&lt;=0),"",9.81*(C194*H194/SUM(G194:H194)+D194))</f>
        <v/>
      </c>
      <c r="S194" s="11">
        <f>IF(OR(COUNT(C194:E194,G194:H194)&lt;5,SUM(G194:H194)&lt;=0),"",9.81*(C194*G194/SUM(G194:H194)+E194))</f>
        <v/>
      </c>
    </row>
    <row r="195" spans="1:19" ht="32" customHeight="1">
      <c r="A195" s="8" t="s">
        <v>208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1">
        <f>IF(COUNT(G195:H195)&lt;2,"",G195+H195)</f>
        <v/>
      </c>
      <c r="R195" s="11">
        <f>IF(OR(COUNT(C195:E195,G195:H195)&lt;5,SUM(G195:H195)&lt;=0),"",9.81*(C195*H195/SUM(G195:H195)+D195))</f>
        <v/>
      </c>
      <c r="S195" s="11">
        <f>IF(OR(COUNT(C195:E195,G195:H195)&lt;5,SUM(G195:H195)&lt;=0),"",9.81*(C195*G195/SUM(G195:H195)+E195))</f>
        <v/>
      </c>
    </row>
    <row r="196" spans="1:19" ht="32" customHeight="1">
      <c r="A196" s="8" t="s">
        <v>209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1">
        <f>IF(COUNT(G196:H196)&lt;2,"",G196+H196)</f>
        <v/>
      </c>
      <c r="R196" s="11">
        <f>IF(OR(COUNT(C196:E196,G196:H196)&lt;5,SUM(G196:H196)&lt;=0),"",9.81*(C196*H196/SUM(G196:H196)+D196))</f>
        <v/>
      </c>
      <c r="S196" s="11">
        <f>IF(OR(COUNT(C196:E196,G196:H196)&lt;5,SUM(G196:H196)&lt;=0),"",9.81*(C196*G196/SUM(G196:H196)+E196))</f>
        <v/>
      </c>
    </row>
    <row r="197" spans="1:19" ht="32" customHeight="1">
      <c r="A197" s="8" t="s">
        <v>210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1">
        <f>IF(COUNT(G197:H197)&lt;2,"",G197+H197)</f>
        <v/>
      </c>
      <c r="R197" s="11">
        <f>IF(OR(COUNT(C197:E197,G197:H197)&lt;5,SUM(G197:H197)&lt;=0),"",9.81*(C197*H197/SUM(G197:H197)+D197))</f>
        <v/>
      </c>
      <c r="S197" s="11">
        <f>IF(OR(COUNT(C197:E197,G197:H197)&lt;5,SUM(G197:H197)&lt;=0),"",9.81*(C197*G197/SUM(G197:H197)+E197))</f>
        <v/>
      </c>
    </row>
    <row r="198" spans="1:19" ht="32" customHeight="1">
      <c r="A198" s="8" t="s">
        <v>211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1">
        <f>IF(COUNT(G198:H198)&lt;2,"",G198+H198)</f>
        <v/>
      </c>
      <c r="R198" s="11">
        <f>IF(OR(COUNT(C198:E198,G198:H198)&lt;5,SUM(G198:H198)&lt;=0),"",9.81*(C198*H198/SUM(G198:H198)+D198))</f>
        <v/>
      </c>
      <c r="S198" s="11">
        <f>IF(OR(COUNT(C198:E198,G198:H198)&lt;5,SUM(G198:H198)&lt;=0),"",9.81*(C198*G198/SUM(G198:H198)+E198))</f>
        <v/>
      </c>
    </row>
    <row r="199" spans="1:19" ht="32" customHeight="1">
      <c r="A199" s="8" t="s">
        <v>212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1">
        <f>IF(COUNT(G199:H199)&lt;2,"",G199+H199)</f>
        <v/>
      </c>
      <c r="R199" s="11">
        <f>IF(OR(COUNT(C199:E199,G199:H199)&lt;5,SUM(G199:H199)&lt;=0),"",9.81*(C199*H199/SUM(G199:H199)+D199))</f>
        <v/>
      </c>
      <c r="S199" s="11">
        <f>IF(OR(COUNT(C199:E199,G199:H199)&lt;5,SUM(G199:H199)&lt;=0),"",9.81*(C199*G199/SUM(G199:H199)+E199))</f>
        <v/>
      </c>
    </row>
    <row r="200" spans="1:19" ht="32" customHeight="1">
      <c r="A200" s="8" t="s">
        <v>213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1">
        <f>IF(COUNT(G200:H200)&lt;2,"",G200+H200)</f>
        <v/>
      </c>
      <c r="R200" s="11">
        <f>IF(OR(COUNT(C200:E200,G200:H200)&lt;5,SUM(G200:H200)&lt;=0),"",9.81*(C200*H200/SUM(G200:H200)+D200))</f>
        <v/>
      </c>
      <c r="S200" s="11">
        <f>IF(OR(COUNT(C200:E200,G200:H200)&lt;5,SUM(G200:H200)&lt;=0),"",9.81*(C200*G200/SUM(G200:H200)+E200))</f>
        <v/>
      </c>
    </row>
    <row r="201" spans="1:19" ht="32" customHeight="1">
      <c r="A201" s="8" t="s">
        <v>214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1">
        <f>IF(COUNT(G201:H201)&lt;2,"",G201+H201)</f>
        <v/>
      </c>
      <c r="R201" s="11">
        <f>IF(OR(COUNT(C201:E201,G201:H201)&lt;5,SUM(G201:H201)&lt;=0),"",9.81*(C201*H201/SUM(G201:H201)+D201))</f>
        <v/>
      </c>
      <c r="S201" s="11">
        <f>IF(OR(COUNT(C201:E201,G201:H201)&lt;5,SUM(G201:H201)&lt;=0),"",9.81*(C201*G201/SUM(G201:H201)+E201))</f>
        <v/>
      </c>
    </row>
    <row r="202" spans="1:19" ht="32" customHeight="1">
      <c r="A202" s="8" t="s">
        <v>215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1">
        <f>IF(COUNT(G202:H202)&lt;2,"",G202+H202)</f>
        <v/>
      </c>
      <c r="R202" s="11">
        <f>IF(OR(COUNT(C202:E202,G202:H202)&lt;5,SUM(G202:H202)&lt;=0),"",9.81*(C202*H202/SUM(G202:H202)+D202))</f>
        <v/>
      </c>
      <c r="S202" s="11">
        <f>IF(OR(COUNT(C202:E202,G202:H202)&lt;5,SUM(G202:H202)&lt;=0),"",9.81*(C202*G202/SUM(G202:H202)+E202))</f>
        <v/>
      </c>
    </row>
    <row r="203" spans="1:19" ht="32" customHeight="1">
      <c r="A203" s="8" t="s">
        <v>216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1">
        <f>IF(COUNT(G203:H203)&lt;2,"",G203+H203)</f>
        <v/>
      </c>
      <c r="R203" s="11">
        <f>IF(OR(COUNT(C203:E203,G203:H203)&lt;5,SUM(G203:H203)&lt;=0),"",9.81*(C203*H203/SUM(G203:H203)+D203))</f>
        <v/>
      </c>
      <c r="S203" s="11">
        <f>IF(OR(COUNT(C203:E203,G203:H203)&lt;5,SUM(G203:H203)&lt;=0),"",9.81*(C203*G203/SUM(G203:H203)+E203))</f>
        <v/>
      </c>
    </row>
    <row r="204" spans="1:19" ht="32" customHeight="1">
      <c r="A204" s="8" t="s">
        <v>217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1">
        <f>IF(COUNT(G204:H204)&lt;2,"",G204+H204)</f>
        <v/>
      </c>
      <c r="R204" s="11">
        <f>IF(OR(COUNT(C204:E204,G204:H204)&lt;5,SUM(G204:H204)&lt;=0),"",9.81*(C204*H204/SUM(G204:H204)+D204))</f>
        <v/>
      </c>
      <c r="S204" s="11">
        <f>IF(OR(COUNT(C204:E204,G204:H204)&lt;5,SUM(G204:H204)&lt;=0),"",9.81*(C204*G204/SUM(G204:H204)+E204))</f>
        <v/>
      </c>
    </row>
    <row r="205" spans="1:19" ht="32" customHeight="1">
      <c r="A205" s="8" t="s">
        <v>218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1">
        <f>IF(COUNT(G205:H205)&lt;2,"",G205+H205)</f>
        <v/>
      </c>
      <c r="R205" s="11">
        <f>IF(OR(COUNT(C205:E205,G205:H205)&lt;5,SUM(G205:H205)&lt;=0),"",9.81*(C205*H205/SUM(G205:H205)+D205))</f>
        <v/>
      </c>
      <c r="S205" s="11">
        <f>IF(OR(COUNT(C205:E205,G205:H205)&lt;5,SUM(G205:H205)&lt;=0),"",9.81*(C205*G205/SUM(G205:H205)+E205))</f>
        <v/>
      </c>
    </row>
  </sheetData>
  <mergeCells count="2">
    <mergeCell ref="A1:S1"/>
    <mergeCell ref="A2:S3"/>
  </mergeCells>
  <dataValidations count="15">
    <dataValidation type="list" allowBlank="1" showInputMessage="1" showErrorMessage="1" sqref="B6:B205">
      <formula1>"One side,Axle equivalent,Unconfirmed"</formula1>
    </dataValidation>
    <dataValidation type="decimal" operator="greaterThan" allowBlank="1" showInputMessage="1" showErrorMessage="1" errorTitle="Check this input" error="Use a numeric value in the units shown." promptTitle="Units matter" prompt="Read the header comment or Field Guide." sqref="C6:C205">
      <formula1>0</formula1>
    </dataValidation>
    <dataValidation type="decimal" operator="greaterThan" allowBlank="1" showInputMessage="1" showErrorMessage="1" errorTitle="Check this input" error="Use a numeric value in the units shown." promptTitle="Units matter" prompt="Read the header comment or Field Guide." sqref="D6:D205">
      <formula1>0</formula1>
    </dataValidation>
    <dataValidation type="decimal" operator="greaterThan" allowBlank="1" showInputMessage="1" showErrorMessage="1" errorTitle="Check this input" error="Use a numeric value in the units shown." promptTitle="Units matter" prompt="Read the header comment or Field Guide." sqref="E6:E205">
      <formula1>0</formula1>
    </dataValidation>
    <dataValidation type="decimal" operator="greaterThan" allowBlank="1" showInputMessage="1" showErrorMessage="1" errorTitle="Check this input" error="Use a numeric value in the units shown." promptTitle="Units matter" prompt="Read the header comment or Field Guide." sqref="F6:F205">
      <formula1>0</formula1>
    </dataValidation>
    <dataValidation type="decimal" operator="greaterThan" allowBlank="1" showInputMessage="1" showErrorMessage="1" errorTitle="Check this input" error="Use a numeric value in the units shown." promptTitle="Units matter" prompt="Read the header comment or Field Guide." sqref="G6:G205">
      <formula1>0</formula1>
    </dataValidation>
    <dataValidation type="decimal" operator="greaterThan" allowBlank="1" showInputMessage="1" showErrorMessage="1" errorTitle="Check this input" error="Use a numeric value in the units shown." promptTitle="Units matter" prompt="Read the header comment or Field Guide." sqref="H6:H205">
      <formula1>0</formula1>
    </dataValidation>
    <dataValidation type="decimal" operator="greaterThan" allowBlank="1" showInputMessage="1" showErrorMessage="1" errorTitle="Check this input" error="Use a numeric value in the units shown." promptTitle="Units matter" prompt="Read the header comment or Field Guide." sqref="I6:I205">
      <formula1>0</formula1>
    </dataValidation>
    <dataValidation type="decimal" operator="greaterThan" allowBlank="1" showInputMessage="1" showErrorMessage="1" errorTitle="Check this input" error="Use a numeric value in the units shown." promptTitle="Units matter" prompt="Read the header comment or Field Guide." sqref="J6:J205">
      <formula1>0</formula1>
    </dataValidation>
    <dataValidation type="decimal" operator="greaterThanOrEqual" allowBlank="1" showInputMessage="1" showErrorMessage="1" errorTitle="Check this input" error="Use a numeric value in the units shown." promptTitle="Units matter" prompt="Read the header comment or Field Guide." sqref="K6:K205">
      <formula1>0</formula1>
    </dataValidation>
    <dataValidation type="decimal" operator="greaterThanOrEqual" allowBlank="1" showInputMessage="1" showErrorMessage="1" errorTitle="Check this input" error="Use a numeric value in the units shown." promptTitle="Units matter" prompt="Read the header comment or Field Guide." sqref="L6:L205">
      <formula1>0</formula1>
    </dataValidation>
    <dataValidation type="decimal" operator="greaterThan" allowBlank="1" showInputMessage="1" showErrorMessage="1" errorTitle="Check this input" error="Use a numeric value in the units shown." promptTitle="Units matter" prompt="Read the header comment or Field Guide." sqref="M6:M205">
      <formula1>0</formula1>
    </dataValidation>
    <dataValidation type="decimal" operator="greaterThan" allowBlank="1" showInputMessage="1" showErrorMessage="1" errorTitle="Check this input" error="Use a numeric value in the units shown." promptTitle="Units matter" prompt="Read the header comment or Field Guide." sqref="N6:N205">
      <formula1>0</formula1>
    </dataValidation>
    <dataValidation type="decimal" operator="greaterThanOrEqual" allowBlank="1" showInputMessage="1" showErrorMessage="1" errorTitle="Check this input" error="Use a numeric value in the units shown." promptTitle="Units matter" prompt="Read the header comment or Field Guide." sqref="O6:O205">
      <formula1>0</formula1>
    </dataValidation>
    <dataValidation type="decimal" operator="greaterThanOrEqual" allowBlank="1" showInputMessage="1" showErrorMessage="1" errorTitle="Check this input" error="Use a numeric value in the units shown." promptTitle="Units matter" prompt="Read the header comment or Field Guide." sqref="P6:P205">
      <formula1>0</formula1>
    </dataValidation>
  </dataValidations>
  <pageMargins left="0.7" right="0.7" top="0.75" bottom="0.75" header="0.3" footer="0.3"/>
  <pageSetup paperSize="9"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7F7A"/>
    <pageSetUpPr fitToPage="1"/>
  </sheetPr>
  <dimension ref="A1:V205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5.7109375" customWidth="1"/>
    <col min="2" max="2" width="19.7109375" customWidth="1"/>
    <col min="3" max="4" width="23.7109375" customWidth="1"/>
    <col min="5" max="7" width="24.7109375" customWidth="1"/>
    <col min="8" max="8" width="23.7109375" customWidth="1"/>
    <col min="9" max="9" width="22.7109375" customWidth="1"/>
    <col min="10" max="10" width="23.7109375" customWidth="1"/>
    <col min="11" max="11" width="24.7109375" customWidth="1"/>
    <col min="12" max="12" width="48.7109375" customWidth="1"/>
    <col min="13" max="13" width="24.7109375" customWidth="1"/>
    <col min="14" max="14" width="23.7109375" customWidth="1"/>
    <col min="15" max="15" width="26.7109375" customWidth="1"/>
    <col min="16" max="17" width="24.7109375" customWidth="1"/>
    <col min="18" max="18" width="20.7109375" customWidth="1"/>
    <col min="19" max="19" width="16.7109375" customWidth="1"/>
    <col min="20" max="20" width="23.7109375" customWidth="1"/>
    <col min="21" max="21" width="21.7109375" customWidth="1"/>
    <col min="22" max="22" width="40.7109375" customWidth="1"/>
  </cols>
  <sheetData>
    <row r="1" spans="1:22" ht="37" customHeight="1">
      <c r="A1" s="1" t="s">
        <v>244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4" customHeight="1">
      <c r="A2" s="2" t="s">
        <v>245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2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5" spans="1:22" ht="48" customHeight="1">
      <c r="A5" s="7" t="s">
        <v>2</v>
      </c>
      <c r="B5" s="7" t="s">
        <v>246</v>
      </c>
      <c r="C5" s="7" t="s">
        <v>247</v>
      </c>
      <c r="D5" s="7" t="s">
        <v>248</v>
      </c>
      <c r="E5" s="7" t="s">
        <v>249</v>
      </c>
      <c r="F5" s="7" t="s">
        <v>250</v>
      </c>
      <c r="G5" s="7" t="s">
        <v>251</v>
      </c>
      <c r="H5" s="7" t="s">
        <v>252</v>
      </c>
      <c r="I5" s="7" t="s">
        <v>253</v>
      </c>
      <c r="J5" s="7" t="s">
        <v>254</v>
      </c>
      <c r="K5" s="7" t="s">
        <v>255</v>
      </c>
      <c r="L5" s="7" t="s">
        <v>256</v>
      </c>
      <c r="M5" s="7" t="s">
        <v>257</v>
      </c>
      <c r="N5" s="7" t="s">
        <v>258</v>
      </c>
      <c r="O5" s="7" t="s">
        <v>259</v>
      </c>
      <c r="P5" s="7" t="s">
        <v>260</v>
      </c>
      <c r="Q5" s="7" t="s">
        <v>261</v>
      </c>
      <c r="R5" s="7" t="s">
        <v>262</v>
      </c>
      <c r="S5" s="7" t="s">
        <v>263</v>
      </c>
      <c r="T5" s="7" t="s">
        <v>264</v>
      </c>
      <c r="U5" s="7" t="s">
        <v>265</v>
      </c>
      <c r="V5" s="7" t="s">
        <v>266</v>
      </c>
    </row>
    <row r="6" spans="1:22" ht="32" customHeight="1">
      <c r="A6" s="8" t="s">
        <v>19</v>
      </c>
      <c r="B6" s="10">
        <v>10</v>
      </c>
      <c r="C6" s="9" t="s">
        <v>267</v>
      </c>
      <c r="D6" s="9" t="s">
        <v>268</v>
      </c>
      <c r="E6" s="10">
        <v>0.001</v>
      </c>
      <c r="F6" s="10"/>
      <c r="G6" s="10">
        <v>1</v>
      </c>
      <c r="H6" s="10"/>
      <c r="I6" s="10">
        <v>1</v>
      </c>
      <c r="J6" s="9" t="s">
        <v>269</v>
      </c>
      <c r="K6" s="10">
        <v>0.01</v>
      </c>
      <c r="L6" s="9" t="s">
        <v>270</v>
      </c>
      <c r="M6" s="10">
        <v>5</v>
      </c>
      <c r="N6" s="10">
        <v>0.1</v>
      </c>
      <c r="O6" s="10"/>
      <c r="P6" s="10">
        <v>0.1</v>
      </c>
      <c r="Q6" s="11">
        <f>COUNTIFS(Bumps!$A$6:$A$2005,A6,Bumps!$C$6:$C$2005,"&lt;&gt;",Bumps!$D$6:$D$2005,"&lt;&gt;")</f>
        <v>0</v>
      </c>
      <c r="R6" s="10">
        <v>0.1</v>
      </c>
      <c r="S6" s="10">
        <v>30</v>
      </c>
      <c r="T6" s="9" t="s">
        <v>269</v>
      </c>
      <c r="U6" s="9" t="s">
        <v>269</v>
      </c>
      <c r="V6" s="9" t="s">
        <v>271</v>
      </c>
    </row>
    <row r="7" spans="1:22" ht="32" customHeight="1">
      <c r="A7" s="8" t="s">
        <v>20</v>
      </c>
      <c r="B7" s="10"/>
      <c r="E7" s="10"/>
      <c r="F7" s="10"/>
      <c r="G7" s="10"/>
      <c r="H7" s="10"/>
      <c r="I7" s="10"/>
      <c r="K7" s="10"/>
      <c r="M7" s="10"/>
      <c r="N7" s="10"/>
      <c r="O7" s="10"/>
      <c r="P7" s="10"/>
      <c r="Q7" s="11">
        <f>COUNTIFS(Bumps!$A$6:$A$2005,A7,Bumps!$C$6:$C$2005,"&lt;&gt;",Bumps!$D$6:$D$2005,"&lt;&gt;")</f>
        <v>0</v>
      </c>
      <c r="R7" s="10"/>
      <c r="S7" s="10"/>
    </row>
    <row r="8" spans="1:22" ht="32" customHeight="1">
      <c r="A8" s="8" t="s">
        <v>21</v>
      </c>
      <c r="B8" s="10"/>
      <c r="E8" s="10"/>
      <c r="F8" s="10"/>
      <c r="G8" s="10"/>
      <c r="H8" s="10"/>
      <c r="I8" s="10"/>
      <c r="K8" s="10"/>
      <c r="M8" s="10"/>
      <c r="N8" s="10"/>
      <c r="O8" s="10"/>
      <c r="P8" s="10"/>
      <c r="Q8" s="11">
        <f>COUNTIFS(Bumps!$A$6:$A$2005,A8,Bumps!$C$6:$C$2005,"&lt;&gt;",Bumps!$D$6:$D$2005,"&lt;&gt;")</f>
        <v>0</v>
      </c>
      <c r="R8" s="10"/>
      <c r="S8" s="10"/>
    </row>
    <row r="9" spans="1:22" ht="32" customHeight="1">
      <c r="A9" s="8" t="s">
        <v>22</v>
      </c>
      <c r="B9" s="10"/>
      <c r="E9" s="10"/>
      <c r="F9" s="10"/>
      <c r="G9" s="10"/>
      <c r="H9" s="10"/>
      <c r="I9" s="10"/>
      <c r="K9" s="10"/>
      <c r="M9" s="10"/>
      <c r="N9" s="10"/>
      <c r="O9" s="10"/>
      <c r="P9" s="10"/>
      <c r="Q9" s="11">
        <f>COUNTIFS(Bumps!$A$6:$A$2005,A9,Bumps!$C$6:$C$2005,"&lt;&gt;",Bumps!$D$6:$D$2005,"&lt;&gt;")</f>
        <v>0</v>
      </c>
      <c r="R9" s="10"/>
      <c r="S9" s="10"/>
    </row>
    <row r="10" spans="1:22" ht="32" customHeight="1">
      <c r="A10" s="8" t="s">
        <v>23</v>
      </c>
      <c r="B10" s="10"/>
      <c r="E10" s="10"/>
      <c r="F10" s="10"/>
      <c r="G10" s="10"/>
      <c r="H10" s="10"/>
      <c r="I10" s="10"/>
      <c r="K10" s="10"/>
      <c r="M10" s="10"/>
      <c r="N10" s="10"/>
      <c r="O10" s="10"/>
      <c r="P10" s="10"/>
      <c r="Q10" s="11">
        <f>COUNTIFS(Bumps!$A$6:$A$2005,A10,Bumps!$C$6:$C$2005,"&lt;&gt;",Bumps!$D$6:$D$2005,"&lt;&gt;")</f>
        <v>0</v>
      </c>
      <c r="R10" s="10"/>
      <c r="S10" s="10"/>
    </row>
    <row r="11" spans="1:22" ht="32" customHeight="1">
      <c r="A11" s="8" t="s">
        <v>24</v>
      </c>
      <c r="B11" s="10"/>
      <c r="E11" s="10"/>
      <c r="F11" s="10"/>
      <c r="G11" s="10"/>
      <c r="H11" s="10"/>
      <c r="I11" s="10"/>
      <c r="K11" s="10"/>
      <c r="M11" s="10"/>
      <c r="N11" s="10"/>
      <c r="O11" s="10"/>
      <c r="P11" s="10"/>
      <c r="Q11" s="11">
        <f>COUNTIFS(Bumps!$A$6:$A$2005,A11,Bumps!$C$6:$C$2005,"&lt;&gt;",Bumps!$D$6:$D$2005,"&lt;&gt;")</f>
        <v>0</v>
      </c>
      <c r="R11" s="10"/>
      <c r="S11" s="10"/>
    </row>
    <row r="12" spans="1:22" ht="32" customHeight="1">
      <c r="A12" s="8" t="s">
        <v>25</v>
      </c>
      <c r="B12" s="10"/>
      <c r="E12" s="10"/>
      <c r="F12" s="10"/>
      <c r="G12" s="10"/>
      <c r="H12" s="10"/>
      <c r="I12" s="10"/>
      <c r="K12" s="10"/>
      <c r="M12" s="10"/>
      <c r="N12" s="10"/>
      <c r="O12" s="10"/>
      <c r="P12" s="10"/>
      <c r="Q12" s="11">
        <f>COUNTIFS(Bumps!$A$6:$A$2005,A12,Bumps!$C$6:$C$2005,"&lt;&gt;",Bumps!$D$6:$D$2005,"&lt;&gt;")</f>
        <v>0</v>
      </c>
      <c r="R12" s="10"/>
      <c r="S12" s="10"/>
    </row>
    <row r="13" spans="1:22" ht="32" customHeight="1">
      <c r="A13" s="8" t="s">
        <v>26</v>
      </c>
      <c r="B13" s="10"/>
      <c r="E13" s="10"/>
      <c r="F13" s="10"/>
      <c r="G13" s="10"/>
      <c r="H13" s="10"/>
      <c r="I13" s="10"/>
      <c r="K13" s="10"/>
      <c r="M13" s="10"/>
      <c r="N13" s="10"/>
      <c r="O13" s="10"/>
      <c r="P13" s="10"/>
      <c r="Q13" s="11">
        <f>COUNTIFS(Bumps!$A$6:$A$2005,A13,Bumps!$C$6:$C$2005,"&lt;&gt;",Bumps!$D$6:$D$2005,"&lt;&gt;")</f>
        <v>0</v>
      </c>
      <c r="R13" s="10"/>
      <c r="S13" s="10"/>
    </row>
    <row r="14" spans="1:22" ht="32" customHeight="1">
      <c r="A14" s="8" t="s">
        <v>27</v>
      </c>
      <c r="B14" s="10"/>
      <c r="E14" s="10"/>
      <c r="F14" s="10"/>
      <c r="G14" s="10"/>
      <c r="H14" s="10"/>
      <c r="I14" s="10"/>
      <c r="K14" s="10"/>
      <c r="M14" s="10"/>
      <c r="N14" s="10"/>
      <c r="O14" s="10"/>
      <c r="P14" s="10"/>
      <c r="Q14" s="11">
        <f>COUNTIFS(Bumps!$A$6:$A$2005,A14,Bumps!$C$6:$C$2005,"&lt;&gt;",Bumps!$D$6:$D$2005,"&lt;&gt;")</f>
        <v>0</v>
      </c>
      <c r="R14" s="10"/>
      <c r="S14" s="10"/>
    </row>
    <row r="15" spans="1:22" ht="32" customHeight="1">
      <c r="A15" s="8" t="s">
        <v>28</v>
      </c>
      <c r="B15" s="10"/>
      <c r="E15" s="10"/>
      <c r="F15" s="10"/>
      <c r="G15" s="10"/>
      <c r="H15" s="10"/>
      <c r="I15" s="10"/>
      <c r="K15" s="10"/>
      <c r="M15" s="10"/>
      <c r="N15" s="10"/>
      <c r="O15" s="10"/>
      <c r="P15" s="10"/>
      <c r="Q15" s="11">
        <f>COUNTIFS(Bumps!$A$6:$A$2005,A15,Bumps!$C$6:$C$2005,"&lt;&gt;",Bumps!$D$6:$D$2005,"&lt;&gt;")</f>
        <v>0</v>
      </c>
      <c r="R15" s="10"/>
      <c r="S15" s="10"/>
    </row>
    <row r="16" spans="1:22" ht="32" customHeight="1">
      <c r="A16" s="8" t="s">
        <v>29</v>
      </c>
      <c r="B16" s="10"/>
      <c r="E16" s="10"/>
      <c r="F16" s="10"/>
      <c r="G16" s="10"/>
      <c r="H16" s="10"/>
      <c r="I16" s="10"/>
      <c r="K16" s="10"/>
      <c r="M16" s="10"/>
      <c r="N16" s="10"/>
      <c r="O16" s="10"/>
      <c r="P16" s="10"/>
      <c r="Q16" s="11">
        <f>COUNTIFS(Bumps!$A$6:$A$2005,A16,Bumps!$C$6:$C$2005,"&lt;&gt;",Bumps!$D$6:$D$2005,"&lt;&gt;")</f>
        <v>0</v>
      </c>
      <c r="R16" s="10"/>
      <c r="S16" s="10"/>
    </row>
    <row r="17" spans="1:19" ht="32" customHeight="1">
      <c r="A17" s="8" t="s">
        <v>30</v>
      </c>
      <c r="B17" s="10"/>
      <c r="E17" s="10"/>
      <c r="F17" s="10"/>
      <c r="G17" s="10"/>
      <c r="H17" s="10"/>
      <c r="I17" s="10"/>
      <c r="K17" s="10"/>
      <c r="M17" s="10"/>
      <c r="N17" s="10"/>
      <c r="O17" s="10"/>
      <c r="P17" s="10"/>
      <c r="Q17" s="11">
        <f>COUNTIFS(Bumps!$A$6:$A$2005,A17,Bumps!$C$6:$C$2005,"&lt;&gt;",Bumps!$D$6:$D$2005,"&lt;&gt;")</f>
        <v>0</v>
      </c>
      <c r="R17" s="10"/>
      <c r="S17" s="10"/>
    </row>
    <row r="18" spans="1:19" ht="32" customHeight="1">
      <c r="A18" s="8" t="s">
        <v>31</v>
      </c>
      <c r="B18" s="10"/>
      <c r="E18" s="10"/>
      <c r="F18" s="10"/>
      <c r="G18" s="10"/>
      <c r="H18" s="10"/>
      <c r="I18" s="10"/>
      <c r="K18" s="10"/>
      <c r="M18" s="10"/>
      <c r="N18" s="10"/>
      <c r="O18" s="10"/>
      <c r="P18" s="10"/>
      <c r="Q18" s="11">
        <f>COUNTIFS(Bumps!$A$6:$A$2005,A18,Bumps!$C$6:$C$2005,"&lt;&gt;",Bumps!$D$6:$D$2005,"&lt;&gt;")</f>
        <v>0</v>
      </c>
      <c r="R18" s="10"/>
      <c r="S18" s="10"/>
    </row>
    <row r="19" spans="1:19" ht="32" customHeight="1">
      <c r="A19" s="8" t="s">
        <v>32</v>
      </c>
      <c r="B19" s="10"/>
      <c r="E19" s="10"/>
      <c r="F19" s="10"/>
      <c r="G19" s="10"/>
      <c r="H19" s="10"/>
      <c r="I19" s="10"/>
      <c r="K19" s="10"/>
      <c r="M19" s="10"/>
      <c r="N19" s="10"/>
      <c r="O19" s="10"/>
      <c r="P19" s="10"/>
      <c r="Q19" s="11">
        <f>COUNTIFS(Bumps!$A$6:$A$2005,A19,Bumps!$C$6:$C$2005,"&lt;&gt;",Bumps!$D$6:$D$2005,"&lt;&gt;")</f>
        <v>0</v>
      </c>
      <c r="R19" s="10"/>
      <c r="S19" s="10"/>
    </row>
    <row r="20" spans="1:19" ht="32" customHeight="1">
      <c r="A20" s="8" t="s">
        <v>33</v>
      </c>
      <c r="B20" s="10"/>
      <c r="E20" s="10"/>
      <c r="F20" s="10"/>
      <c r="G20" s="10"/>
      <c r="H20" s="10"/>
      <c r="I20" s="10"/>
      <c r="K20" s="10"/>
      <c r="M20" s="10"/>
      <c r="N20" s="10"/>
      <c r="O20" s="10"/>
      <c r="P20" s="10"/>
      <c r="Q20" s="11">
        <f>COUNTIFS(Bumps!$A$6:$A$2005,A20,Bumps!$C$6:$C$2005,"&lt;&gt;",Bumps!$D$6:$D$2005,"&lt;&gt;")</f>
        <v>0</v>
      </c>
      <c r="R20" s="10"/>
      <c r="S20" s="10"/>
    </row>
    <row r="21" spans="1:19" ht="32" customHeight="1">
      <c r="A21" s="8" t="s">
        <v>34</v>
      </c>
      <c r="B21" s="10"/>
      <c r="E21" s="10"/>
      <c r="F21" s="10"/>
      <c r="G21" s="10"/>
      <c r="H21" s="10"/>
      <c r="I21" s="10"/>
      <c r="K21" s="10"/>
      <c r="M21" s="10"/>
      <c r="N21" s="10"/>
      <c r="O21" s="10"/>
      <c r="P21" s="10"/>
      <c r="Q21" s="11">
        <f>COUNTIFS(Bumps!$A$6:$A$2005,A21,Bumps!$C$6:$C$2005,"&lt;&gt;",Bumps!$D$6:$D$2005,"&lt;&gt;")</f>
        <v>0</v>
      </c>
      <c r="R21" s="10"/>
      <c r="S21" s="10"/>
    </row>
    <row r="22" spans="1:19" ht="32" customHeight="1">
      <c r="A22" s="8" t="s">
        <v>35</v>
      </c>
      <c r="B22" s="10"/>
      <c r="E22" s="10"/>
      <c r="F22" s="10"/>
      <c r="G22" s="10"/>
      <c r="H22" s="10"/>
      <c r="I22" s="10"/>
      <c r="K22" s="10"/>
      <c r="M22" s="10"/>
      <c r="N22" s="10"/>
      <c r="O22" s="10"/>
      <c r="P22" s="10"/>
      <c r="Q22" s="11">
        <f>COUNTIFS(Bumps!$A$6:$A$2005,A22,Bumps!$C$6:$C$2005,"&lt;&gt;",Bumps!$D$6:$D$2005,"&lt;&gt;")</f>
        <v>0</v>
      </c>
      <c r="R22" s="10"/>
      <c r="S22" s="10"/>
    </row>
    <row r="23" spans="1:19" ht="32" customHeight="1">
      <c r="A23" s="8" t="s">
        <v>36</v>
      </c>
      <c r="B23" s="10"/>
      <c r="E23" s="10"/>
      <c r="F23" s="10"/>
      <c r="G23" s="10"/>
      <c r="H23" s="10"/>
      <c r="I23" s="10"/>
      <c r="K23" s="10"/>
      <c r="M23" s="10"/>
      <c r="N23" s="10"/>
      <c r="O23" s="10"/>
      <c r="P23" s="10"/>
      <c r="Q23" s="11">
        <f>COUNTIFS(Bumps!$A$6:$A$2005,A23,Bumps!$C$6:$C$2005,"&lt;&gt;",Bumps!$D$6:$D$2005,"&lt;&gt;")</f>
        <v>0</v>
      </c>
      <c r="R23" s="10"/>
      <c r="S23" s="10"/>
    </row>
    <row r="24" spans="1:19" ht="32" customHeight="1">
      <c r="A24" s="8" t="s">
        <v>37</v>
      </c>
      <c r="B24" s="10"/>
      <c r="E24" s="10"/>
      <c r="F24" s="10"/>
      <c r="G24" s="10"/>
      <c r="H24" s="10"/>
      <c r="I24" s="10"/>
      <c r="K24" s="10"/>
      <c r="M24" s="10"/>
      <c r="N24" s="10"/>
      <c r="O24" s="10"/>
      <c r="P24" s="10"/>
      <c r="Q24" s="11">
        <f>COUNTIFS(Bumps!$A$6:$A$2005,A24,Bumps!$C$6:$C$2005,"&lt;&gt;",Bumps!$D$6:$D$2005,"&lt;&gt;")</f>
        <v>0</v>
      </c>
      <c r="R24" s="10"/>
      <c r="S24" s="10"/>
    </row>
    <row r="25" spans="1:19" ht="32" customHeight="1">
      <c r="A25" s="8" t="s">
        <v>38</v>
      </c>
      <c r="B25" s="10"/>
      <c r="E25" s="10"/>
      <c r="F25" s="10"/>
      <c r="G25" s="10"/>
      <c r="H25" s="10"/>
      <c r="I25" s="10"/>
      <c r="K25" s="10"/>
      <c r="M25" s="10"/>
      <c r="N25" s="10"/>
      <c r="O25" s="10"/>
      <c r="P25" s="10"/>
      <c r="Q25" s="11">
        <f>COUNTIFS(Bumps!$A$6:$A$2005,A25,Bumps!$C$6:$C$2005,"&lt;&gt;",Bumps!$D$6:$D$2005,"&lt;&gt;")</f>
        <v>0</v>
      </c>
      <c r="R25" s="10"/>
      <c r="S25" s="10"/>
    </row>
    <row r="26" spans="1:19" ht="32" customHeight="1">
      <c r="A26" s="8" t="s">
        <v>39</v>
      </c>
      <c r="B26" s="10"/>
      <c r="E26" s="10"/>
      <c r="F26" s="10"/>
      <c r="G26" s="10"/>
      <c r="H26" s="10"/>
      <c r="I26" s="10"/>
      <c r="K26" s="10"/>
      <c r="M26" s="10"/>
      <c r="N26" s="10"/>
      <c r="O26" s="10"/>
      <c r="P26" s="10"/>
      <c r="Q26" s="11">
        <f>COUNTIFS(Bumps!$A$6:$A$2005,A26,Bumps!$C$6:$C$2005,"&lt;&gt;",Bumps!$D$6:$D$2005,"&lt;&gt;")</f>
        <v>0</v>
      </c>
      <c r="R26" s="10"/>
      <c r="S26" s="10"/>
    </row>
    <row r="27" spans="1:19" ht="32" customHeight="1">
      <c r="A27" s="8" t="s">
        <v>40</v>
      </c>
      <c r="B27" s="10"/>
      <c r="E27" s="10"/>
      <c r="F27" s="10"/>
      <c r="G27" s="10"/>
      <c r="H27" s="10"/>
      <c r="I27" s="10"/>
      <c r="K27" s="10"/>
      <c r="M27" s="10"/>
      <c r="N27" s="10"/>
      <c r="O27" s="10"/>
      <c r="P27" s="10"/>
      <c r="Q27" s="11">
        <f>COUNTIFS(Bumps!$A$6:$A$2005,A27,Bumps!$C$6:$C$2005,"&lt;&gt;",Bumps!$D$6:$D$2005,"&lt;&gt;")</f>
        <v>0</v>
      </c>
      <c r="R27" s="10"/>
      <c r="S27" s="10"/>
    </row>
    <row r="28" spans="1:19" ht="32" customHeight="1">
      <c r="A28" s="8" t="s">
        <v>41</v>
      </c>
      <c r="B28" s="10"/>
      <c r="E28" s="10"/>
      <c r="F28" s="10"/>
      <c r="G28" s="10"/>
      <c r="H28" s="10"/>
      <c r="I28" s="10"/>
      <c r="K28" s="10"/>
      <c r="M28" s="10"/>
      <c r="N28" s="10"/>
      <c r="O28" s="10"/>
      <c r="P28" s="10"/>
      <c r="Q28" s="11">
        <f>COUNTIFS(Bumps!$A$6:$A$2005,A28,Bumps!$C$6:$C$2005,"&lt;&gt;",Bumps!$D$6:$D$2005,"&lt;&gt;")</f>
        <v>0</v>
      </c>
      <c r="R28" s="10"/>
      <c r="S28" s="10"/>
    </row>
    <row r="29" spans="1:19" ht="32" customHeight="1">
      <c r="A29" s="8" t="s">
        <v>42</v>
      </c>
      <c r="B29" s="10"/>
      <c r="E29" s="10"/>
      <c r="F29" s="10"/>
      <c r="G29" s="10"/>
      <c r="H29" s="10"/>
      <c r="I29" s="10"/>
      <c r="K29" s="10"/>
      <c r="M29" s="10"/>
      <c r="N29" s="10"/>
      <c r="O29" s="10"/>
      <c r="P29" s="10"/>
      <c r="Q29" s="11">
        <f>COUNTIFS(Bumps!$A$6:$A$2005,A29,Bumps!$C$6:$C$2005,"&lt;&gt;",Bumps!$D$6:$D$2005,"&lt;&gt;")</f>
        <v>0</v>
      </c>
      <c r="R29" s="10"/>
      <c r="S29" s="10"/>
    </row>
    <row r="30" spans="1:19" ht="32" customHeight="1">
      <c r="A30" s="8" t="s">
        <v>43</v>
      </c>
      <c r="B30" s="10"/>
      <c r="E30" s="10"/>
      <c r="F30" s="10"/>
      <c r="G30" s="10"/>
      <c r="H30" s="10"/>
      <c r="I30" s="10"/>
      <c r="K30" s="10"/>
      <c r="M30" s="10"/>
      <c r="N30" s="10"/>
      <c r="O30" s="10"/>
      <c r="P30" s="10"/>
      <c r="Q30" s="11">
        <f>COUNTIFS(Bumps!$A$6:$A$2005,A30,Bumps!$C$6:$C$2005,"&lt;&gt;",Bumps!$D$6:$D$2005,"&lt;&gt;")</f>
        <v>0</v>
      </c>
      <c r="R30" s="10"/>
      <c r="S30" s="10"/>
    </row>
    <row r="31" spans="1:19" ht="32" customHeight="1">
      <c r="A31" s="8" t="s">
        <v>44</v>
      </c>
      <c r="B31" s="10"/>
      <c r="E31" s="10"/>
      <c r="F31" s="10"/>
      <c r="G31" s="10"/>
      <c r="H31" s="10"/>
      <c r="I31" s="10"/>
      <c r="K31" s="10"/>
      <c r="M31" s="10"/>
      <c r="N31" s="10"/>
      <c r="O31" s="10"/>
      <c r="P31" s="10"/>
      <c r="Q31" s="11">
        <f>COUNTIFS(Bumps!$A$6:$A$2005,A31,Bumps!$C$6:$C$2005,"&lt;&gt;",Bumps!$D$6:$D$2005,"&lt;&gt;")</f>
        <v>0</v>
      </c>
      <c r="R31" s="10"/>
      <c r="S31" s="10"/>
    </row>
    <row r="32" spans="1:19" ht="32" customHeight="1">
      <c r="A32" s="8" t="s">
        <v>45</v>
      </c>
      <c r="B32" s="10"/>
      <c r="E32" s="10"/>
      <c r="F32" s="10"/>
      <c r="G32" s="10"/>
      <c r="H32" s="10"/>
      <c r="I32" s="10"/>
      <c r="K32" s="10"/>
      <c r="M32" s="10"/>
      <c r="N32" s="10"/>
      <c r="O32" s="10"/>
      <c r="P32" s="10"/>
      <c r="Q32" s="11">
        <f>COUNTIFS(Bumps!$A$6:$A$2005,A32,Bumps!$C$6:$C$2005,"&lt;&gt;",Bumps!$D$6:$D$2005,"&lt;&gt;")</f>
        <v>0</v>
      </c>
      <c r="R32" s="10"/>
      <c r="S32" s="10"/>
    </row>
    <row r="33" spans="1:19" ht="32" customHeight="1">
      <c r="A33" s="8" t="s">
        <v>46</v>
      </c>
      <c r="B33" s="10"/>
      <c r="E33" s="10"/>
      <c r="F33" s="10"/>
      <c r="G33" s="10"/>
      <c r="H33" s="10"/>
      <c r="I33" s="10"/>
      <c r="K33" s="10"/>
      <c r="M33" s="10"/>
      <c r="N33" s="10"/>
      <c r="O33" s="10"/>
      <c r="P33" s="10"/>
      <c r="Q33" s="11">
        <f>COUNTIFS(Bumps!$A$6:$A$2005,A33,Bumps!$C$6:$C$2005,"&lt;&gt;",Bumps!$D$6:$D$2005,"&lt;&gt;")</f>
        <v>0</v>
      </c>
      <c r="R33" s="10"/>
      <c r="S33" s="10"/>
    </row>
    <row r="34" spans="1:19" ht="32" customHeight="1">
      <c r="A34" s="8" t="s">
        <v>47</v>
      </c>
      <c r="B34" s="10"/>
      <c r="E34" s="10"/>
      <c r="F34" s="10"/>
      <c r="G34" s="10"/>
      <c r="H34" s="10"/>
      <c r="I34" s="10"/>
      <c r="K34" s="10"/>
      <c r="M34" s="10"/>
      <c r="N34" s="10"/>
      <c r="O34" s="10"/>
      <c r="P34" s="10"/>
      <c r="Q34" s="11">
        <f>COUNTIFS(Bumps!$A$6:$A$2005,A34,Bumps!$C$6:$C$2005,"&lt;&gt;",Bumps!$D$6:$D$2005,"&lt;&gt;")</f>
        <v>0</v>
      </c>
      <c r="R34" s="10"/>
      <c r="S34" s="10"/>
    </row>
    <row r="35" spans="1:19" ht="32" customHeight="1">
      <c r="A35" s="8" t="s">
        <v>48</v>
      </c>
      <c r="B35" s="10"/>
      <c r="E35" s="10"/>
      <c r="F35" s="10"/>
      <c r="G35" s="10"/>
      <c r="H35" s="10"/>
      <c r="I35" s="10"/>
      <c r="K35" s="10"/>
      <c r="M35" s="10"/>
      <c r="N35" s="10"/>
      <c r="O35" s="10"/>
      <c r="P35" s="10"/>
      <c r="Q35" s="11">
        <f>COUNTIFS(Bumps!$A$6:$A$2005,A35,Bumps!$C$6:$C$2005,"&lt;&gt;",Bumps!$D$6:$D$2005,"&lt;&gt;")</f>
        <v>0</v>
      </c>
      <c r="R35" s="10"/>
      <c r="S35" s="10"/>
    </row>
    <row r="36" spans="1:19" ht="32" customHeight="1">
      <c r="A36" s="8" t="s">
        <v>49</v>
      </c>
      <c r="B36" s="10"/>
      <c r="E36" s="10"/>
      <c r="F36" s="10"/>
      <c r="G36" s="10"/>
      <c r="H36" s="10"/>
      <c r="I36" s="10"/>
      <c r="K36" s="10"/>
      <c r="M36" s="10"/>
      <c r="N36" s="10"/>
      <c r="O36" s="10"/>
      <c r="P36" s="10"/>
      <c r="Q36" s="11">
        <f>COUNTIFS(Bumps!$A$6:$A$2005,A36,Bumps!$C$6:$C$2005,"&lt;&gt;",Bumps!$D$6:$D$2005,"&lt;&gt;")</f>
        <v>0</v>
      </c>
      <c r="R36" s="10"/>
      <c r="S36" s="10"/>
    </row>
    <row r="37" spans="1:19" ht="32" customHeight="1">
      <c r="A37" s="8" t="s">
        <v>50</v>
      </c>
      <c r="B37" s="10"/>
      <c r="E37" s="10"/>
      <c r="F37" s="10"/>
      <c r="G37" s="10"/>
      <c r="H37" s="10"/>
      <c r="I37" s="10"/>
      <c r="K37" s="10"/>
      <c r="M37" s="10"/>
      <c r="N37" s="10"/>
      <c r="O37" s="10"/>
      <c r="P37" s="10"/>
      <c r="Q37" s="11">
        <f>COUNTIFS(Bumps!$A$6:$A$2005,A37,Bumps!$C$6:$C$2005,"&lt;&gt;",Bumps!$D$6:$D$2005,"&lt;&gt;")</f>
        <v>0</v>
      </c>
      <c r="R37" s="10"/>
      <c r="S37" s="10"/>
    </row>
    <row r="38" spans="1:19" ht="32" customHeight="1">
      <c r="A38" s="8" t="s">
        <v>51</v>
      </c>
      <c r="B38" s="10"/>
      <c r="E38" s="10"/>
      <c r="F38" s="10"/>
      <c r="G38" s="10"/>
      <c r="H38" s="10"/>
      <c r="I38" s="10"/>
      <c r="K38" s="10"/>
      <c r="M38" s="10"/>
      <c r="N38" s="10"/>
      <c r="O38" s="10"/>
      <c r="P38" s="10"/>
      <c r="Q38" s="11">
        <f>COUNTIFS(Bumps!$A$6:$A$2005,A38,Bumps!$C$6:$C$2005,"&lt;&gt;",Bumps!$D$6:$D$2005,"&lt;&gt;")</f>
        <v>0</v>
      </c>
      <c r="R38" s="10"/>
      <c r="S38" s="10"/>
    </row>
    <row r="39" spans="1:19" ht="32" customHeight="1">
      <c r="A39" s="8" t="s">
        <v>52</v>
      </c>
      <c r="B39" s="10"/>
      <c r="E39" s="10"/>
      <c r="F39" s="10"/>
      <c r="G39" s="10"/>
      <c r="H39" s="10"/>
      <c r="I39" s="10"/>
      <c r="K39" s="10"/>
      <c r="M39" s="10"/>
      <c r="N39" s="10"/>
      <c r="O39" s="10"/>
      <c r="P39" s="10"/>
      <c r="Q39" s="11">
        <f>COUNTIFS(Bumps!$A$6:$A$2005,A39,Bumps!$C$6:$C$2005,"&lt;&gt;",Bumps!$D$6:$D$2005,"&lt;&gt;")</f>
        <v>0</v>
      </c>
      <c r="R39" s="10"/>
      <c r="S39" s="10"/>
    </row>
    <row r="40" spans="1:19" ht="32" customHeight="1">
      <c r="A40" s="8" t="s">
        <v>53</v>
      </c>
      <c r="B40" s="10"/>
      <c r="E40" s="10"/>
      <c r="F40" s="10"/>
      <c r="G40" s="10"/>
      <c r="H40" s="10"/>
      <c r="I40" s="10"/>
      <c r="K40" s="10"/>
      <c r="M40" s="10"/>
      <c r="N40" s="10"/>
      <c r="O40" s="10"/>
      <c r="P40" s="10"/>
      <c r="Q40" s="11">
        <f>COUNTIFS(Bumps!$A$6:$A$2005,A40,Bumps!$C$6:$C$2005,"&lt;&gt;",Bumps!$D$6:$D$2005,"&lt;&gt;")</f>
        <v>0</v>
      </c>
      <c r="R40" s="10"/>
      <c r="S40" s="10"/>
    </row>
    <row r="41" spans="1:19" ht="32" customHeight="1">
      <c r="A41" s="8" t="s">
        <v>54</v>
      </c>
      <c r="B41" s="10"/>
      <c r="E41" s="10"/>
      <c r="F41" s="10"/>
      <c r="G41" s="10"/>
      <c r="H41" s="10"/>
      <c r="I41" s="10"/>
      <c r="K41" s="10"/>
      <c r="M41" s="10"/>
      <c r="N41" s="10"/>
      <c r="O41" s="10"/>
      <c r="P41" s="10"/>
      <c r="Q41" s="11">
        <f>COUNTIFS(Bumps!$A$6:$A$2005,A41,Bumps!$C$6:$C$2005,"&lt;&gt;",Bumps!$D$6:$D$2005,"&lt;&gt;")</f>
        <v>0</v>
      </c>
      <c r="R41" s="10"/>
      <c r="S41" s="10"/>
    </row>
    <row r="42" spans="1:19" ht="32" customHeight="1">
      <c r="A42" s="8" t="s">
        <v>55</v>
      </c>
      <c r="B42" s="10"/>
      <c r="E42" s="10"/>
      <c r="F42" s="10"/>
      <c r="G42" s="10"/>
      <c r="H42" s="10"/>
      <c r="I42" s="10"/>
      <c r="K42" s="10"/>
      <c r="M42" s="10"/>
      <c r="N42" s="10"/>
      <c r="O42" s="10"/>
      <c r="P42" s="10"/>
      <c r="Q42" s="11">
        <f>COUNTIFS(Bumps!$A$6:$A$2005,A42,Bumps!$C$6:$C$2005,"&lt;&gt;",Bumps!$D$6:$D$2005,"&lt;&gt;")</f>
        <v>0</v>
      </c>
      <c r="R42" s="10"/>
      <c r="S42" s="10"/>
    </row>
    <row r="43" spans="1:19" ht="32" customHeight="1">
      <c r="A43" s="8" t="s">
        <v>56</v>
      </c>
      <c r="B43" s="10"/>
      <c r="E43" s="10"/>
      <c r="F43" s="10"/>
      <c r="G43" s="10"/>
      <c r="H43" s="10"/>
      <c r="I43" s="10"/>
      <c r="K43" s="10"/>
      <c r="M43" s="10"/>
      <c r="N43" s="10"/>
      <c r="O43" s="10"/>
      <c r="P43" s="10"/>
      <c r="Q43" s="11">
        <f>COUNTIFS(Bumps!$A$6:$A$2005,A43,Bumps!$C$6:$C$2005,"&lt;&gt;",Bumps!$D$6:$D$2005,"&lt;&gt;")</f>
        <v>0</v>
      </c>
      <c r="R43" s="10"/>
      <c r="S43" s="10"/>
    </row>
    <row r="44" spans="1:19" ht="32" customHeight="1">
      <c r="A44" s="8" t="s">
        <v>57</v>
      </c>
      <c r="B44" s="10"/>
      <c r="E44" s="10"/>
      <c r="F44" s="10"/>
      <c r="G44" s="10"/>
      <c r="H44" s="10"/>
      <c r="I44" s="10"/>
      <c r="K44" s="10"/>
      <c r="M44" s="10"/>
      <c r="N44" s="10"/>
      <c r="O44" s="10"/>
      <c r="P44" s="10"/>
      <c r="Q44" s="11">
        <f>COUNTIFS(Bumps!$A$6:$A$2005,A44,Bumps!$C$6:$C$2005,"&lt;&gt;",Bumps!$D$6:$D$2005,"&lt;&gt;")</f>
        <v>0</v>
      </c>
      <c r="R44" s="10"/>
      <c r="S44" s="10"/>
    </row>
    <row r="45" spans="1:19" ht="32" customHeight="1">
      <c r="A45" s="8" t="s">
        <v>58</v>
      </c>
      <c r="B45" s="10"/>
      <c r="E45" s="10"/>
      <c r="F45" s="10"/>
      <c r="G45" s="10"/>
      <c r="H45" s="10"/>
      <c r="I45" s="10"/>
      <c r="K45" s="10"/>
      <c r="M45" s="10"/>
      <c r="N45" s="10"/>
      <c r="O45" s="10"/>
      <c r="P45" s="10"/>
      <c r="Q45" s="11">
        <f>COUNTIFS(Bumps!$A$6:$A$2005,A45,Bumps!$C$6:$C$2005,"&lt;&gt;",Bumps!$D$6:$D$2005,"&lt;&gt;")</f>
        <v>0</v>
      </c>
      <c r="R45" s="10"/>
      <c r="S45" s="10"/>
    </row>
    <row r="46" spans="1:19" ht="32" customHeight="1">
      <c r="A46" s="8" t="s">
        <v>59</v>
      </c>
      <c r="B46" s="10"/>
      <c r="E46" s="10"/>
      <c r="F46" s="10"/>
      <c r="G46" s="10"/>
      <c r="H46" s="10"/>
      <c r="I46" s="10"/>
      <c r="K46" s="10"/>
      <c r="M46" s="10"/>
      <c r="N46" s="10"/>
      <c r="O46" s="10"/>
      <c r="P46" s="10"/>
      <c r="Q46" s="11">
        <f>COUNTIFS(Bumps!$A$6:$A$2005,A46,Bumps!$C$6:$C$2005,"&lt;&gt;",Bumps!$D$6:$D$2005,"&lt;&gt;")</f>
        <v>0</v>
      </c>
      <c r="R46" s="10"/>
      <c r="S46" s="10"/>
    </row>
    <row r="47" spans="1:19" ht="32" customHeight="1">
      <c r="A47" s="8" t="s">
        <v>60</v>
      </c>
      <c r="B47" s="10"/>
      <c r="E47" s="10"/>
      <c r="F47" s="10"/>
      <c r="G47" s="10"/>
      <c r="H47" s="10"/>
      <c r="I47" s="10"/>
      <c r="K47" s="10"/>
      <c r="M47" s="10"/>
      <c r="N47" s="10"/>
      <c r="O47" s="10"/>
      <c r="P47" s="10"/>
      <c r="Q47" s="11">
        <f>COUNTIFS(Bumps!$A$6:$A$2005,A47,Bumps!$C$6:$C$2005,"&lt;&gt;",Bumps!$D$6:$D$2005,"&lt;&gt;")</f>
        <v>0</v>
      </c>
      <c r="R47" s="10"/>
      <c r="S47" s="10"/>
    </row>
    <row r="48" spans="1:19" ht="32" customHeight="1">
      <c r="A48" s="8" t="s">
        <v>61</v>
      </c>
      <c r="B48" s="10"/>
      <c r="E48" s="10"/>
      <c r="F48" s="10"/>
      <c r="G48" s="10"/>
      <c r="H48" s="10"/>
      <c r="I48" s="10"/>
      <c r="K48" s="10"/>
      <c r="M48" s="10"/>
      <c r="N48" s="10"/>
      <c r="O48" s="10"/>
      <c r="P48" s="10"/>
      <c r="Q48" s="11">
        <f>COUNTIFS(Bumps!$A$6:$A$2005,A48,Bumps!$C$6:$C$2005,"&lt;&gt;",Bumps!$D$6:$D$2005,"&lt;&gt;")</f>
        <v>0</v>
      </c>
      <c r="R48" s="10"/>
      <c r="S48" s="10"/>
    </row>
    <row r="49" spans="1:19" ht="32" customHeight="1">
      <c r="A49" s="8" t="s">
        <v>62</v>
      </c>
      <c r="B49" s="10"/>
      <c r="E49" s="10"/>
      <c r="F49" s="10"/>
      <c r="G49" s="10"/>
      <c r="H49" s="10"/>
      <c r="I49" s="10"/>
      <c r="K49" s="10"/>
      <c r="M49" s="10"/>
      <c r="N49" s="10"/>
      <c r="O49" s="10"/>
      <c r="P49" s="10"/>
      <c r="Q49" s="11">
        <f>COUNTIFS(Bumps!$A$6:$A$2005,A49,Bumps!$C$6:$C$2005,"&lt;&gt;",Bumps!$D$6:$D$2005,"&lt;&gt;")</f>
        <v>0</v>
      </c>
      <c r="R49" s="10"/>
      <c r="S49" s="10"/>
    </row>
    <row r="50" spans="1:19" ht="32" customHeight="1">
      <c r="A50" s="8" t="s">
        <v>63</v>
      </c>
      <c r="B50" s="10"/>
      <c r="E50" s="10"/>
      <c r="F50" s="10"/>
      <c r="G50" s="10"/>
      <c r="H50" s="10"/>
      <c r="I50" s="10"/>
      <c r="K50" s="10"/>
      <c r="M50" s="10"/>
      <c r="N50" s="10"/>
      <c r="O50" s="10"/>
      <c r="P50" s="10"/>
      <c r="Q50" s="11">
        <f>COUNTIFS(Bumps!$A$6:$A$2005,A50,Bumps!$C$6:$C$2005,"&lt;&gt;",Bumps!$D$6:$D$2005,"&lt;&gt;")</f>
        <v>0</v>
      </c>
      <c r="R50" s="10"/>
      <c r="S50" s="10"/>
    </row>
    <row r="51" spans="1:19" ht="32" customHeight="1">
      <c r="A51" s="8" t="s">
        <v>64</v>
      </c>
      <c r="B51" s="10"/>
      <c r="E51" s="10"/>
      <c r="F51" s="10"/>
      <c r="G51" s="10"/>
      <c r="H51" s="10"/>
      <c r="I51" s="10"/>
      <c r="K51" s="10"/>
      <c r="M51" s="10"/>
      <c r="N51" s="10"/>
      <c r="O51" s="10"/>
      <c r="P51" s="10"/>
      <c r="Q51" s="11">
        <f>COUNTIFS(Bumps!$A$6:$A$2005,A51,Bumps!$C$6:$C$2005,"&lt;&gt;",Bumps!$D$6:$D$2005,"&lt;&gt;")</f>
        <v>0</v>
      </c>
      <c r="R51" s="10"/>
      <c r="S51" s="10"/>
    </row>
    <row r="52" spans="1:19" ht="32" customHeight="1">
      <c r="A52" s="8" t="s">
        <v>65</v>
      </c>
      <c r="B52" s="10"/>
      <c r="E52" s="10"/>
      <c r="F52" s="10"/>
      <c r="G52" s="10"/>
      <c r="H52" s="10"/>
      <c r="I52" s="10"/>
      <c r="K52" s="10"/>
      <c r="M52" s="10"/>
      <c r="N52" s="10"/>
      <c r="O52" s="10"/>
      <c r="P52" s="10"/>
      <c r="Q52" s="11">
        <f>COUNTIFS(Bumps!$A$6:$A$2005,A52,Bumps!$C$6:$C$2005,"&lt;&gt;",Bumps!$D$6:$D$2005,"&lt;&gt;")</f>
        <v>0</v>
      </c>
      <c r="R52" s="10"/>
      <c r="S52" s="10"/>
    </row>
    <row r="53" spans="1:19" ht="32" customHeight="1">
      <c r="A53" s="8" t="s">
        <v>66</v>
      </c>
      <c r="B53" s="10"/>
      <c r="E53" s="10"/>
      <c r="F53" s="10"/>
      <c r="G53" s="10"/>
      <c r="H53" s="10"/>
      <c r="I53" s="10"/>
      <c r="K53" s="10"/>
      <c r="M53" s="10"/>
      <c r="N53" s="10"/>
      <c r="O53" s="10"/>
      <c r="P53" s="10"/>
      <c r="Q53" s="11">
        <f>COUNTIFS(Bumps!$A$6:$A$2005,A53,Bumps!$C$6:$C$2005,"&lt;&gt;",Bumps!$D$6:$D$2005,"&lt;&gt;")</f>
        <v>0</v>
      </c>
      <c r="R53" s="10"/>
      <c r="S53" s="10"/>
    </row>
    <row r="54" spans="1:19" ht="32" customHeight="1">
      <c r="A54" s="8" t="s">
        <v>67</v>
      </c>
      <c r="B54" s="10"/>
      <c r="E54" s="10"/>
      <c r="F54" s="10"/>
      <c r="G54" s="10"/>
      <c r="H54" s="10"/>
      <c r="I54" s="10"/>
      <c r="K54" s="10"/>
      <c r="M54" s="10"/>
      <c r="N54" s="10"/>
      <c r="O54" s="10"/>
      <c r="P54" s="10"/>
      <c r="Q54" s="11">
        <f>COUNTIFS(Bumps!$A$6:$A$2005,A54,Bumps!$C$6:$C$2005,"&lt;&gt;",Bumps!$D$6:$D$2005,"&lt;&gt;")</f>
        <v>0</v>
      </c>
      <c r="R54" s="10"/>
      <c r="S54" s="10"/>
    </row>
    <row r="55" spans="1:19" ht="32" customHeight="1">
      <c r="A55" s="8" t="s">
        <v>68</v>
      </c>
      <c r="B55" s="10"/>
      <c r="E55" s="10"/>
      <c r="F55" s="10"/>
      <c r="G55" s="10"/>
      <c r="H55" s="10"/>
      <c r="I55" s="10"/>
      <c r="K55" s="10"/>
      <c r="M55" s="10"/>
      <c r="N55" s="10"/>
      <c r="O55" s="10"/>
      <c r="P55" s="10"/>
      <c r="Q55" s="11">
        <f>COUNTIFS(Bumps!$A$6:$A$2005,A55,Bumps!$C$6:$C$2005,"&lt;&gt;",Bumps!$D$6:$D$2005,"&lt;&gt;")</f>
        <v>0</v>
      </c>
      <c r="R55" s="10"/>
      <c r="S55" s="10"/>
    </row>
    <row r="56" spans="1:19" ht="32" customHeight="1">
      <c r="A56" s="8" t="s">
        <v>69</v>
      </c>
      <c r="B56" s="10"/>
      <c r="E56" s="10"/>
      <c r="F56" s="10"/>
      <c r="G56" s="10"/>
      <c r="H56" s="10"/>
      <c r="I56" s="10"/>
      <c r="K56" s="10"/>
      <c r="M56" s="10"/>
      <c r="N56" s="10"/>
      <c r="O56" s="10"/>
      <c r="P56" s="10"/>
      <c r="Q56" s="11">
        <f>COUNTIFS(Bumps!$A$6:$A$2005,A56,Bumps!$C$6:$C$2005,"&lt;&gt;",Bumps!$D$6:$D$2005,"&lt;&gt;")</f>
        <v>0</v>
      </c>
      <c r="R56" s="10"/>
      <c r="S56" s="10"/>
    </row>
    <row r="57" spans="1:19" ht="32" customHeight="1">
      <c r="A57" s="8" t="s">
        <v>70</v>
      </c>
      <c r="B57" s="10"/>
      <c r="E57" s="10"/>
      <c r="F57" s="10"/>
      <c r="G57" s="10"/>
      <c r="H57" s="10"/>
      <c r="I57" s="10"/>
      <c r="K57" s="10"/>
      <c r="M57" s="10"/>
      <c r="N57" s="10"/>
      <c r="O57" s="10"/>
      <c r="P57" s="10"/>
      <c r="Q57" s="11">
        <f>COUNTIFS(Bumps!$A$6:$A$2005,A57,Bumps!$C$6:$C$2005,"&lt;&gt;",Bumps!$D$6:$D$2005,"&lt;&gt;")</f>
        <v>0</v>
      </c>
      <c r="R57" s="10"/>
      <c r="S57" s="10"/>
    </row>
    <row r="58" spans="1:19" ht="32" customHeight="1">
      <c r="A58" s="8" t="s">
        <v>71</v>
      </c>
      <c r="B58" s="10"/>
      <c r="E58" s="10"/>
      <c r="F58" s="10"/>
      <c r="G58" s="10"/>
      <c r="H58" s="10"/>
      <c r="I58" s="10"/>
      <c r="K58" s="10"/>
      <c r="M58" s="10"/>
      <c r="N58" s="10"/>
      <c r="O58" s="10"/>
      <c r="P58" s="10"/>
      <c r="Q58" s="11">
        <f>COUNTIFS(Bumps!$A$6:$A$2005,A58,Bumps!$C$6:$C$2005,"&lt;&gt;",Bumps!$D$6:$D$2005,"&lt;&gt;")</f>
        <v>0</v>
      </c>
      <c r="R58" s="10"/>
      <c r="S58" s="10"/>
    </row>
    <row r="59" spans="1:19" ht="32" customHeight="1">
      <c r="A59" s="8" t="s">
        <v>72</v>
      </c>
      <c r="B59" s="10"/>
      <c r="E59" s="10"/>
      <c r="F59" s="10"/>
      <c r="G59" s="10"/>
      <c r="H59" s="10"/>
      <c r="I59" s="10"/>
      <c r="K59" s="10"/>
      <c r="M59" s="10"/>
      <c r="N59" s="10"/>
      <c r="O59" s="10"/>
      <c r="P59" s="10"/>
      <c r="Q59" s="11">
        <f>COUNTIFS(Bumps!$A$6:$A$2005,A59,Bumps!$C$6:$C$2005,"&lt;&gt;",Bumps!$D$6:$D$2005,"&lt;&gt;")</f>
        <v>0</v>
      </c>
      <c r="R59" s="10"/>
      <c r="S59" s="10"/>
    </row>
    <row r="60" spans="1:19" ht="32" customHeight="1">
      <c r="A60" s="8" t="s">
        <v>73</v>
      </c>
      <c r="B60" s="10"/>
      <c r="E60" s="10"/>
      <c r="F60" s="10"/>
      <c r="G60" s="10"/>
      <c r="H60" s="10"/>
      <c r="I60" s="10"/>
      <c r="K60" s="10"/>
      <c r="M60" s="10"/>
      <c r="N60" s="10"/>
      <c r="O60" s="10"/>
      <c r="P60" s="10"/>
      <c r="Q60" s="11">
        <f>COUNTIFS(Bumps!$A$6:$A$2005,A60,Bumps!$C$6:$C$2005,"&lt;&gt;",Bumps!$D$6:$D$2005,"&lt;&gt;")</f>
        <v>0</v>
      </c>
      <c r="R60" s="10"/>
      <c r="S60" s="10"/>
    </row>
    <row r="61" spans="1:19" ht="32" customHeight="1">
      <c r="A61" s="8" t="s">
        <v>74</v>
      </c>
      <c r="B61" s="10"/>
      <c r="E61" s="10"/>
      <c r="F61" s="10"/>
      <c r="G61" s="10"/>
      <c r="H61" s="10"/>
      <c r="I61" s="10"/>
      <c r="K61" s="10"/>
      <c r="M61" s="10"/>
      <c r="N61" s="10"/>
      <c r="O61" s="10"/>
      <c r="P61" s="10"/>
      <c r="Q61" s="11">
        <f>COUNTIFS(Bumps!$A$6:$A$2005,A61,Bumps!$C$6:$C$2005,"&lt;&gt;",Bumps!$D$6:$D$2005,"&lt;&gt;")</f>
        <v>0</v>
      </c>
      <c r="R61" s="10"/>
      <c r="S61" s="10"/>
    </row>
    <row r="62" spans="1:19" ht="32" customHeight="1">
      <c r="A62" s="8" t="s">
        <v>75</v>
      </c>
      <c r="B62" s="10"/>
      <c r="E62" s="10"/>
      <c r="F62" s="10"/>
      <c r="G62" s="10"/>
      <c r="H62" s="10"/>
      <c r="I62" s="10"/>
      <c r="K62" s="10"/>
      <c r="M62" s="10"/>
      <c r="N62" s="10"/>
      <c r="O62" s="10"/>
      <c r="P62" s="10"/>
      <c r="Q62" s="11">
        <f>COUNTIFS(Bumps!$A$6:$A$2005,A62,Bumps!$C$6:$C$2005,"&lt;&gt;",Bumps!$D$6:$D$2005,"&lt;&gt;")</f>
        <v>0</v>
      </c>
      <c r="R62" s="10"/>
      <c r="S62" s="10"/>
    </row>
    <row r="63" spans="1:19" ht="32" customHeight="1">
      <c r="A63" s="8" t="s">
        <v>76</v>
      </c>
      <c r="B63" s="10"/>
      <c r="E63" s="10"/>
      <c r="F63" s="10"/>
      <c r="G63" s="10"/>
      <c r="H63" s="10"/>
      <c r="I63" s="10"/>
      <c r="K63" s="10"/>
      <c r="M63" s="10"/>
      <c r="N63" s="10"/>
      <c r="O63" s="10"/>
      <c r="P63" s="10"/>
      <c r="Q63" s="11">
        <f>COUNTIFS(Bumps!$A$6:$A$2005,A63,Bumps!$C$6:$C$2005,"&lt;&gt;",Bumps!$D$6:$D$2005,"&lt;&gt;")</f>
        <v>0</v>
      </c>
      <c r="R63" s="10"/>
      <c r="S63" s="10"/>
    </row>
    <row r="64" spans="1:19" ht="32" customHeight="1">
      <c r="A64" s="8" t="s">
        <v>77</v>
      </c>
      <c r="B64" s="10"/>
      <c r="E64" s="10"/>
      <c r="F64" s="10"/>
      <c r="G64" s="10"/>
      <c r="H64" s="10"/>
      <c r="I64" s="10"/>
      <c r="K64" s="10"/>
      <c r="M64" s="10"/>
      <c r="N64" s="10"/>
      <c r="O64" s="10"/>
      <c r="P64" s="10"/>
      <c r="Q64" s="11">
        <f>COUNTIFS(Bumps!$A$6:$A$2005,A64,Bumps!$C$6:$C$2005,"&lt;&gt;",Bumps!$D$6:$D$2005,"&lt;&gt;")</f>
        <v>0</v>
      </c>
      <c r="R64" s="10"/>
      <c r="S64" s="10"/>
    </row>
    <row r="65" spans="1:19" ht="32" customHeight="1">
      <c r="A65" s="8" t="s">
        <v>78</v>
      </c>
      <c r="B65" s="10"/>
      <c r="E65" s="10"/>
      <c r="F65" s="10"/>
      <c r="G65" s="10"/>
      <c r="H65" s="10"/>
      <c r="I65" s="10"/>
      <c r="K65" s="10"/>
      <c r="M65" s="10"/>
      <c r="N65" s="10"/>
      <c r="O65" s="10"/>
      <c r="P65" s="10"/>
      <c r="Q65" s="11">
        <f>COUNTIFS(Bumps!$A$6:$A$2005,A65,Bumps!$C$6:$C$2005,"&lt;&gt;",Bumps!$D$6:$D$2005,"&lt;&gt;")</f>
        <v>0</v>
      </c>
      <c r="R65" s="10"/>
      <c r="S65" s="10"/>
    </row>
    <row r="66" spans="1:19" ht="32" customHeight="1">
      <c r="A66" s="8" t="s">
        <v>79</v>
      </c>
      <c r="B66" s="10"/>
      <c r="E66" s="10"/>
      <c r="F66" s="10"/>
      <c r="G66" s="10"/>
      <c r="H66" s="10"/>
      <c r="I66" s="10"/>
      <c r="K66" s="10"/>
      <c r="M66" s="10"/>
      <c r="N66" s="10"/>
      <c r="O66" s="10"/>
      <c r="P66" s="10"/>
      <c r="Q66" s="11">
        <f>COUNTIFS(Bumps!$A$6:$A$2005,A66,Bumps!$C$6:$C$2005,"&lt;&gt;",Bumps!$D$6:$D$2005,"&lt;&gt;")</f>
        <v>0</v>
      </c>
      <c r="R66" s="10"/>
      <c r="S66" s="10"/>
    </row>
    <row r="67" spans="1:19" ht="32" customHeight="1">
      <c r="A67" s="8" t="s">
        <v>80</v>
      </c>
      <c r="B67" s="10"/>
      <c r="E67" s="10"/>
      <c r="F67" s="10"/>
      <c r="G67" s="10"/>
      <c r="H67" s="10"/>
      <c r="I67" s="10"/>
      <c r="K67" s="10"/>
      <c r="M67" s="10"/>
      <c r="N67" s="10"/>
      <c r="O67" s="10"/>
      <c r="P67" s="10"/>
      <c r="Q67" s="11">
        <f>COUNTIFS(Bumps!$A$6:$A$2005,A67,Bumps!$C$6:$C$2005,"&lt;&gt;",Bumps!$D$6:$D$2005,"&lt;&gt;")</f>
        <v>0</v>
      </c>
      <c r="R67" s="10"/>
      <c r="S67" s="10"/>
    </row>
    <row r="68" spans="1:19" ht="32" customHeight="1">
      <c r="A68" s="8" t="s">
        <v>81</v>
      </c>
      <c r="B68" s="10"/>
      <c r="E68" s="10"/>
      <c r="F68" s="10"/>
      <c r="G68" s="10"/>
      <c r="H68" s="10"/>
      <c r="I68" s="10"/>
      <c r="K68" s="10"/>
      <c r="M68" s="10"/>
      <c r="N68" s="10"/>
      <c r="O68" s="10"/>
      <c r="P68" s="10"/>
      <c r="Q68" s="11">
        <f>COUNTIFS(Bumps!$A$6:$A$2005,A68,Bumps!$C$6:$C$2005,"&lt;&gt;",Bumps!$D$6:$D$2005,"&lt;&gt;")</f>
        <v>0</v>
      </c>
      <c r="R68" s="10"/>
      <c r="S68" s="10"/>
    </row>
    <row r="69" spans="1:19" ht="32" customHeight="1">
      <c r="A69" s="8" t="s">
        <v>82</v>
      </c>
      <c r="B69" s="10"/>
      <c r="E69" s="10"/>
      <c r="F69" s="10"/>
      <c r="G69" s="10"/>
      <c r="H69" s="10"/>
      <c r="I69" s="10"/>
      <c r="K69" s="10"/>
      <c r="M69" s="10"/>
      <c r="N69" s="10"/>
      <c r="O69" s="10"/>
      <c r="P69" s="10"/>
      <c r="Q69" s="11">
        <f>COUNTIFS(Bumps!$A$6:$A$2005,A69,Bumps!$C$6:$C$2005,"&lt;&gt;",Bumps!$D$6:$D$2005,"&lt;&gt;")</f>
        <v>0</v>
      </c>
      <c r="R69" s="10"/>
      <c r="S69" s="10"/>
    </row>
    <row r="70" spans="1:19" ht="32" customHeight="1">
      <c r="A70" s="8" t="s">
        <v>83</v>
      </c>
      <c r="B70" s="10"/>
      <c r="E70" s="10"/>
      <c r="F70" s="10"/>
      <c r="G70" s="10"/>
      <c r="H70" s="10"/>
      <c r="I70" s="10"/>
      <c r="K70" s="10"/>
      <c r="M70" s="10"/>
      <c r="N70" s="10"/>
      <c r="O70" s="10"/>
      <c r="P70" s="10"/>
      <c r="Q70" s="11">
        <f>COUNTIFS(Bumps!$A$6:$A$2005,A70,Bumps!$C$6:$C$2005,"&lt;&gt;",Bumps!$D$6:$D$2005,"&lt;&gt;")</f>
        <v>0</v>
      </c>
      <c r="R70" s="10"/>
      <c r="S70" s="10"/>
    </row>
    <row r="71" spans="1:19" ht="32" customHeight="1">
      <c r="A71" s="8" t="s">
        <v>84</v>
      </c>
      <c r="B71" s="10"/>
      <c r="E71" s="10"/>
      <c r="F71" s="10"/>
      <c r="G71" s="10"/>
      <c r="H71" s="10"/>
      <c r="I71" s="10"/>
      <c r="K71" s="10"/>
      <c r="M71" s="10"/>
      <c r="N71" s="10"/>
      <c r="O71" s="10"/>
      <c r="P71" s="10"/>
      <c r="Q71" s="11">
        <f>COUNTIFS(Bumps!$A$6:$A$2005,A71,Bumps!$C$6:$C$2005,"&lt;&gt;",Bumps!$D$6:$D$2005,"&lt;&gt;")</f>
        <v>0</v>
      </c>
      <c r="R71" s="10"/>
      <c r="S71" s="10"/>
    </row>
    <row r="72" spans="1:19" ht="32" customHeight="1">
      <c r="A72" s="8" t="s">
        <v>85</v>
      </c>
      <c r="B72" s="10"/>
      <c r="E72" s="10"/>
      <c r="F72" s="10"/>
      <c r="G72" s="10"/>
      <c r="H72" s="10"/>
      <c r="I72" s="10"/>
      <c r="K72" s="10"/>
      <c r="M72" s="10"/>
      <c r="N72" s="10"/>
      <c r="O72" s="10"/>
      <c r="P72" s="10"/>
      <c r="Q72" s="11">
        <f>COUNTIFS(Bumps!$A$6:$A$2005,A72,Bumps!$C$6:$C$2005,"&lt;&gt;",Bumps!$D$6:$D$2005,"&lt;&gt;")</f>
        <v>0</v>
      </c>
      <c r="R72" s="10"/>
      <c r="S72" s="10"/>
    </row>
    <row r="73" spans="1:19" ht="32" customHeight="1">
      <c r="A73" s="8" t="s">
        <v>86</v>
      </c>
      <c r="B73" s="10"/>
      <c r="E73" s="10"/>
      <c r="F73" s="10"/>
      <c r="G73" s="10"/>
      <c r="H73" s="10"/>
      <c r="I73" s="10"/>
      <c r="K73" s="10"/>
      <c r="M73" s="10"/>
      <c r="N73" s="10"/>
      <c r="O73" s="10"/>
      <c r="P73" s="10"/>
      <c r="Q73" s="11">
        <f>COUNTIFS(Bumps!$A$6:$A$2005,A73,Bumps!$C$6:$C$2005,"&lt;&gt;",Bumps!$D$6:$D$2005,"&lt;&gt;")</f>
        <v>0</v>
      </c>
      <c r="R73" s="10"/>
      <c r="S73" s="10"/>
    </row>
    <row r="74" spans="1:19" ht="32" customHeight="1">
      <c r="A74" s="8" t="s">
        <v>87</v>
      </c>
      <c r="B74" s="10"/>
      <c r="E74" s="10"/>
      <c r="F74" s="10"/>
      <c r="G74" s="10"/>
      <c r="H74" s="10"/>
      <c r="I74" s="10"/>
      <c r="K74" s="10"/>
      <c r="M74" s="10"/>
      <c r="N74" s="10"/>
      <c r="O74" s="10"/>
      <c r="P74" s="10"/>
      <c r="Q74" s="11">
        <f>COUNTIFS(Bumps!$A$6:$A$2005,A74,Bumps!$C$6:$C$2005,"&lt;&gt;",Bumps!$D$6:$D$2005,"&lt;&gt;")</f>
        <v>0</v>
      </c>
      <c r="R74" s="10"/>
      <c r="S74" s="10"/>
    </row>
    <row r="75" spans="1:19" ht="32" customHeight="1">
      <c r="A75" s="8" t="s">
        <v>88</v>
      </c>
      <c r="B75" s="10"/>
      <c r="E75" s="10"/>
      <c r="F75" s="10"/>
      <c r="G75" s="10"/>
      <c r="H75" s="10"/>
      <c r="I75" s="10"/>
      <c r="K75" s="10"/>
      <c r="M75" s="10"/>
      <c r="N75" s="10"/>
      <c r="O75" s="10"/>
      <c r="P75" s="10"/>
      <c r="Q75" s="11">
        <f>COUNTIFS(Bumps!$A$6:$A$2005,A75,Bumps!$C$6:$C$2005,"&lt;&gt;",Bumps!$D$6:$D$2005,"&lt;&gt;")</f>
        <v>0</v>
      </c>
      <c r="R75" s="10"/>
      <c r="S75" s="10"/>
    </row>
    <row r="76" spans="1:19" ht="32" customHeight="1">
      <c r="A76" s="8" t="s">
        <v>89</v>
      </c>
      <c r="B76" s="10"/>
      <c r="E76" s="10"/>
      <c r="F76" s="10"/>
      <c r="G76" s="10"/>
      <c r="H76" s="10"/>
      <c r="I76" s="10"/>
      <c r="K76" s="10"/>
      <c r="M76" s="10"/>
      <c r="N76" s="10"/>
      <c r="O76" s="10"/>
      <c r="P76" s="10"/>
      <c r="Q76" s="11">
        <f>COUNTIFS(Bumps!$A$6:$A$2005,A76,Bumps!$C$6:$C$2005,"&lt;&gt;",Bumps!$D$6:$D$2005,"&lt;&gt;")</f>
        <v>0</v>
      </c>
      <c r="R76" s="10"/>
      <c r="S76" s="10"/>
    </row>
    <row r="77" spans="1:19" ht="32" customHeight="1">
      <c r="A77" s="8" t="s">
        <v>90</v>
      </c>
      <c r="B77" s="10"/>
      <c r="E77" s="10"/>
      <c r="F77" s="10"/>
      <c r="G77" s="10"/>
      <c r="H77" s="10"/>
      <c r="I77" s="10"/>
      <c r="K77" s="10"/>
      <c r="M77" s="10"/>
      <c r="N77" s="10"/>
      <c r="O77" s="10"/>
      <c r="P77" s="10"/>
      <c r="Q77" s="11">
        <f>COUNTIFS(Bumps!$A$6:$A$2005,A77,Bumps!$C$6:$C$2005,"&lt;&gt;",Bumps!$D$6:$D$2005,"&lt;&gt;")</f>
        <v>0</v>
      </c>
      <c r="R77" s="10"/>
      <c r="S77" s="10"/>
    </row>
    <row r="78" spans="1:19" ht="32" customHeight="1">
      <c r="A78" s="8" t="s">
        <v>91</v>
      </c>
      <c r="B78" s="10"/>
      <c r="E78" s="10"/>
      <c r="F78" s="10"/>
      <c r="G78" s="10"/>
      <c r="H78" s="10"/>
      <c r="I78" s="10"/>
      <c r="K78" s="10"/>
      <c r="M78" s="10"/>
      <c r="N78" s="10"/>
      <c r="O78" s="10"/>
      <c r="P78" s="10"/>
      <c r="Q78" s="11">
        <f>COUNTIFS(Bumps!$A$6:$A$2005,A78,Bumps!$C$6:$C$2005,"&lt;&gt;",Bumps!$D$6:$D$2005,"&lt;&gt;")</f>
        <v>0</v>
      </c>
      <c r="R78" s="10"/>
      <c r="S78" s="10"/>
    </row>
    <row r="79" spans="1:19" ht="32" customHeight="1">
      <c r="A79" s="8" t="s">
        <v>92</v>
      </c>
      <c r="B79" s="10"/>
      <c r="E79" s="10"/>
      <c r="F79" s="10"/>
      <c r="G79" s="10"/>
      <c r="H79" s="10"/>
      <c r="I79" s="10"/>
      <c r="K79" s="10"/>
      <c r="M79" s="10"/>
      <c r="N79" s="10"/>
      <c r="O79" s="10"/>
      <c r="P79" s="10"/>
      <c r="Q79" s="11">
        <f>COUNTIFS(Bumps!$A$6:$A$2005,A79,Bumps!$C$6:$C$2005,"&lt;&gt;",Bumps!$D$6:$D$2005,"&lt;&gt;")</f>
        <v>0</v>
      </c>
      <c r="R79" s="10"/>
      <c r="S79" s="10"/>
    </row>
    <row r="80" spans="1:19" ht="32" customHeight="1">
      <c r="A80" s="8" t="s">
        <v>93</v>
      </c>
      <c r="B80" s="10"/>
      <c r="E80" s="10"/>
      <c r="F80" s="10"/>
      <c r="G80" s="10"/>
      <c r="H80" s="10"/>
      <c r="I80" s="10"/>
      <c r="K80" s="10"/>
      <c r="M80" s="10"/>
      <c r="N80" s="10"/>
      <c r="O80" s="10"/>
      <c r="P80" s="10"/>
      <c r="Q80" s="11">
        <f>COUNTIFS(Bumps!$A$6:$A$2005,A80,Bumps!$C$6:$C$2005,"&lt;&gt;",Bumps!$D$6:$D$2005,"&lt;&gt;")</f>
        <v>0</v>
      </c>
      <c r="R80" s="10"/>
      <c r="S80" s="10"/>
    </row>
    <row r="81" spans="1:19" ht="32" customHeight="1">
      <c r="A81" s="8" t="s">
        <v>94</v>
      </c>
      <c r="B81" s="10"/>
      <c r="E81" s="10"/>
      <c r="F81" s="10"/>
      <c r="G81" s="10"/>
      <c r="H81" s="10"/>
      <c r="I81" s="10"/>
      <c r="K81" s="10"/>
      <c r="M81" s="10"/>
      <c r="N81" s="10"/>
      <c r="O81" s="10"/>
      <c r="P81" s="10"/>
      <c r="Q81" s="11">
        <f>COUNTIFS(Bumps!$A$6:$A$2005,A81,Bumps!$C$6:$C$2005,"&lt;&gt;",Bumps!$D$6:$D$2005,"&lt;&gt;")</f>
        <v>0</v>
      </c>
      <c r="R81" s="10"/>
      <c r="S81" s="10"/>
    </row>
    <row r="82" spans="1:19" ht="32" customHeight="1">
      <c r="A82" s="8" t="s">
        <v>95</v>
      </c>
      <c r="B82" s="10"/>
      <c r="E82" s="10"/>
      <c r="F82" s="10"/>
      <c r="G82" s="10"/>
      <c r="H82" s="10"/>
      <c r="I82" s="10"/>
      <c r="K82" s="10"/>
      <c r="M82" s="10"/>
      <c r="N82" s="10"/>
      <c r="O82" s="10"/>
      <c r="P82" s="10"/>
      <c r="Q82" s="11">
        <f>COUNTIFS(Bumps!$A$6:$A$2005,A82,Bumps!$C$6:$C$2005,"&lt;&gt;",Bumps!$D$6:$D$2005,"&lt;&gt;")</f>
        <v>0</v>
      </c>
      <c r="R82" s="10"/>
      <c r="S82" s="10"/>
    </row>
    <row r="83" spans="1:19" ht="32" customHeight="1">
      <c r="A83" s="8" t="s">
        <v>96</v>
      </c>
      <c r="B83" s="10"/>
      <c r="E83" s="10"/>
      <c r="F83" s="10"/>
      <c r="G83" s="10"/>
      <c r="H83" s="10"/>
      <c r="I83" s="10"/>
      <c r="K83" s="10"/>
      <c r="M83" s="10"/>
      <c r="N83" s="10"/>
      <c r="O83" s="10"/>
      <c r="P83" s="10"/>
      <c r="Q83" s="11">
        <f>COUNTIFS(Bumps!$A$6:$A$2005,A83,Bumps!$C$6:$C$2005,"&lt;&gt;",Bumps!$D$6:$D$2005,"&lt;&gt;")</f>
        <v>0</v>
      </c>
      <c r="R83" s="10"/>
      <c r="S83" s="10"/>
    </row>
    <row r="84" spans="1:19" ht="32" customHeight="1">
      <c r="A84" s="8" t="s">
        <v>97</v>
      </c>
      <c r="B84" s="10"/>
      <c r="E84" s="10"/>
      <c r="F84" s="10"/>
      <c r="G84" s="10"/>
      <c r="H84" s="10"/>
      <c r="I84" s="10"/>
      <c r="K84" s="10"/>
      <c r="M84" s="10"/>
      <c r="N84" s="10"/>
      <c r="O84" s="10"/>
      <c r="P84" s="10"/>
      <c r="Q84" s="11">
        <f>COUNTIFS(Bumps!$A$6:$A$2005,A84,Bumps!$C$6:$C$2005,"&lt;&gt;",Bumps!$D$6:$D$2005,"&lt;&gt;")</f>
        <v>0</v>
      </c>
      <c r="R84" s="10"/>
      <c r="S84" s="10"/>
    </row>
    <row r="85" spans="1:19" ht="32" customHeight="1">
      <c r="A85" s="8" t="s">
        <v>98</v>
      </c>
      <c r="B85" s="10"/>
      <c r="E85" s="10"/>
      <c r="F85" s="10"/>
      <c r="G85" s="10"/>
      <c r="H85" s="10"/>
      <c r="I85" s="10"/>
      <c r="K85" s="10"/>
      <c r="M85" s="10"/>
      <c r="N85" s="10"/>
      <c r="O85" s="10"/>
      <c r="P85" s="10"/>
      <c r="Q85" s="11">
        <f>COUNTIFS(Bumps!$A$6:$A$2005,A85,Bumps!$C$6:$C$2005,"&lt;&gt;",Bumps!$D$6:$D$2005,"&lt;&gt;")</f>
        <v>0</v>
      </c>
      <c r="R85" s="10"/>
      <c r="S85" s="10"/>
    </row>
    <row r="86" spans="1:19" ht="32" customHeight="1">
      <c r="A86" s="8" t="s">
        <v>99</v>
      </c>
      <c r="B86" s="10"/>
      <c r="E86" s="10"/>
      <c r="F86" s="10"/>
      <c r="G86" s="10"/>
      <c r="H86" s="10"/>
      <c r="I86" s="10"/>
      <c r="K86" s="10"/>
      <c r="M86" s="10"/>
      <c r="N86" s="10"/>
      <c r="O86" s="10"/>
      <c r="P86" s="10"/>
      <c r="Q86" s="11">
        <f>COUNTIFS(Bumps!$A$6:$A$2005,A86,Bumps!$C$6:$C$2005,"&lt;&gt;",Bumps!$D$6:$D$2005,"&lt;&gt;")</f>
        <v>0</v>
      </c>
      <c r="R86" s="10"/>
      <c r="S86" s="10"/>
    </row>
    <row r="87" spans="1:19" ht="32" customHeight="1">
      <c r="A87" s="8" t="s">
        <v>100</v>
      </c>
      <c r="B87" s="10"/>
      <c r="E87" s="10"/>
      <c r="F87" s="10"/>
      <c r="G87" s="10"/>
      <c r="H87" s="10"/>
      <c r="I87" s="10"/>
      <c r="K87" s="10"/>
      <c r="M87" s="10"/>
      <c r="N87" s="10"/>
      <c r="O87" s="10"/>
      <c r="P87" s="10"/>
      <c r="Q87" s="11">
        <f>COUNTIFS(Bumps!$A$6:$A$2005,A87,Bumps!$C$6:$C$2005,"&lt;&gt;",Bumps!$D$6:$D$2005,"&lt;&gt;")</f>
        <v>0</v>
      </c>
      <c r="R87" s="10"/>
      <c r="S87" s="10"/>
    </row>
    <row r="88" spans="1:19" ht="32" customHeight="1">
      <c r="A88" s="8" t="s">
        <v>101</v>
      </c>
      <c r="B88" s="10"/>
      <c r="E88" s="10"/>
      <c r="F88" s="10"/>
      <c r="G88" s="10"/>
      <c r="H88" s="10"/>
      <c r="I88" s="10"/>
      <c r="K88" s="10"/>
      <c r="M88" s="10"/>
      <c r="N88" s="10"/>
      <c r="O88" s="10"/>
      <c r="P88" s="10"/>
      <c r="Q88" s="11">
        <f>COUNTIFS(Bumps!$A$6:$A$2005,A88,Bumps!$C$6:$C$2005,"&lt;&gt;",Bumps!$D$6:$D$2005,"&lt;&gt;")</f>
        <v>0</v>
      </c>
      <c r="R88" s="10"/>
      <c r="S88" s="10"/>
    </row>
    <row r="89" spans="1:19" ht="32" customHeight="1">
      <c r="A89" s="8" t="s">
        <v>102</v>
      </c>
      <c r="B89" s="10"/>
      <c r="E89" s="10"/>
      <c r="F89" s="10"/>
      <c r="G89" s="10"/>
      <c r="H89" s="10"/>
      <c r="I89" s="10"/>
      <c r="K89" s="10"/>
      <c r="M89" s="10"/>
      <c r="N89" s="10"/>
      <c r="O89" s="10"/>
      <c r="P89" s="10"/>
      <c r="Q89" s="11">
        <f>COUNTIFS(Bumps!$A$6:$A$2005,A89,Bumps!$C$6:$C$2005,"&lt;&gt;",Bumps!$D$6:$D$2005,"&lt;&gt;")</f>
        <v>0</v>
      </c>
      <c r="R89" s="10"/>
      <c r="S89" s="10"/>
    </row>
    <row r="90" spans="1:19" ht="32" customHeight="1">
      <c r="A90" s="8" t="s">
        <v>103</v>
      </c>
      <c r="B90" s="10"/>
      <c r="E90" s="10"/>
      <c r="F90" s="10"/>
      <c r="G90" s="10"/>
      <c r="H90" s="10"/>
      <c r="I90" s="10"/>
      <c r="K90" s="10"/>
      <c r="M90" s="10"/>
      <c r="N90" s="10"/>
      <c r="O90" s="10"/>
      <c r="P90" s="10"/>
      <c r="Q90" s="11">
        <f>COUNTIFS(Bumps!$A$6:$A$2005,A90,Bumps!$C$6:$C$2005,"&lt;&gt;",Bumps!$D$6:$D$2005,"&lt;&gt;")</f>
        <v>0</v>
      </c>
      <c r="R90" s="10"/>
      <c r="S90" s="10"/>
    </row>
    <row r="91" spans="1:19" ht="32" customHeight="1">
      <c r="A91" s="8" t="s">
        <v>104</v>
      </c>
      <c r="B91" s="10"/>
      <c r="E91" s="10"/>
      <c r="F91" s="10"/>
      <c r="G91" s="10"/>
      <c r="H91" s="10"/>
      <c r="I91" s="10"/>
      <c r="K91" s="10"/>
      <c r="M91" s="10"/>
      <c r="N91" s="10"/>
      <c r="O91" s="10"/>
      <c r="P91" s="10"/>
      <c r="Q91" s="11">
        <f>COUNTIFS(Bumps!$A$6:$A$2005,A91,Bumps!$C$6:$C$2005,"&lt;&gt;",Bumps!$D$6:$D$2005,"&lt;&gt;")</f>
        <v>0</v>
      </c>
      <c r="R91" s="10"/>
      <c r="S91" s="10"/>
    </row>
    <row r="92" spans="1:19" ht="32" customHeight="1">
      <c r="A92" s="8" t="s">
        <v>105</v>
      </c>
      <c r="B92" s="10"/>
      <c r="E92" s="10"/>
      <c r="F92" s="10"/>
      <c r="G92" s="10"/>
      <c r="H92" s="10"/>
      <c r="I92" s="10"/>
      <c r="K92" s="10"/>
      <c r="M92" s="10"/>
      <c r="N92" s="10"/>
      <c r="O92" s="10"/>
      <c r="P92" s="10"/>
      <c r="Q92" s="11">
        <f>COUNTIFS(Bumps!$A$6:$A$2005,A92,Bumps!$C$6:$C$2005,"&lt;&gt;",Bumps!$D$6:$D$2005,"&lt;&gt;")</f>
        <v>0</v>
      </c>
      <c r="R92" s="10"/>
      <c r="S92" s="10"/>
    </row>
    <row r="93" spans="1:19" ht="32" customHeight="1">
      <c r="A93" s="8" t="s">
        <v>106</v>
      </c>
      <c r="B93" s="10"/>
      <c r="E93" s="10"/>
      <c r="F93" s="10"/>
      <c r="G93" s="10"/>
      <c r="H93" s="10"/>
      <c r="I93" s="10"/>
      <c r="K93" s="10"/>
      <c r="M93" s="10"/>
      <c r="N93" s="10"/>
      <c r="O93" s="10"/>
      <c r="P93" s="10"/>
      <c r="Q93" s="11">
        <f>COUNTIFS(Bumps!$A$6:$A$2005,A93,Bumps!$C$6:$C$2005,"&lt;&gt;",Bumps!$D$6:$D$2005,"&lt;&gt;")</f>
        <v>0</v>
      </c>
      <c r="R93" s="10"/>
      <c r="S93" s="10"/>
    </row>
    <row r="94" spans="1:19" ht="32" customHeight="1">
      <c r="A94" s="8" t="s">
        <v>107</v>
      </c>
      <c r="B94" s="10"/>
      <c r="E94" s="10"/>
      <c r="F94" s="10"/>
      <c r="G94" s="10"/>
      <c r="H94" s="10"/>
      <c r="I94" s="10"/>
      <c r="K94" s="10"/>
      <c r="M94" s="10"/>
      <c r="N94" s="10"/>
      <c r="O94" s="10"/>
      <c r="P94" s="10"/>
      <c r="Q94" s="11">
        <f>COUNTIFS(Bumps!$A$6:$A$2005,A94,Bumps!$C$6:$C$2005,"&lt;&gt;",Bumps!$D$6:$D$2005,"&lt;&gt;")</f>
        <v>0</v>
      </c>
      <c r="R94" s="10"/>
      <c r="S94" s="10"/>
    </row>
    <row r="95" spans="1:19" ht="32" customHeight="1">
      <c r="A95" s="8" t="s">
        <v>108</v>
      </c>
      <c r="B95" s="10"/>
      <c r="E95" s="10"/>
      <c r="F95" s="10"/>
      <c r="G95" s="10"/>
      <c r="H95" s="10"/>
      <c r="I95" s="10"/>
      <c r="K95" s="10"/>
      <c r="M95" s="10"/>
      <c r="N95" s="10"/>
      <c r="O95" s="10"/>
      <c r="P95" s="10"/>
      <c r="Q95" s="11">
        <f>COUNTIFS(Bumps!$A$6:$A$2005,A95,Bumps!$C$6:$C$2005,"&lt;&gt;",Bumps!$D$6:$D$2005,"&lt;&gt;")</f>
        <v>0</v>
      </c>
      <c r="R95" s="10"/>
      <c r="S95" s="10"/>
    </row>
    <row r="96" spans="1:19" ht="32" customHeight="1">
      <c r="A96" s="8" t="s">
        <v>109</v>
      </c>
      <c r="B96" s="10"/>
      <c r="E96" s="10"/>
      <c r="F96" s="10"/>
      <c r="G96" s="10"/>
      <c r="H96" s="10"/>
      <c r="I96" s="10"/>
      <c r="K96" s="10"/>
      <c r="M96" s="10"/>
      <c r="N96" s="10"/>
      <c r="O96" s="10"/>
      <c r="P96" s="10"/>
      <c r="Q96" s="11">
        <f>COUNTIFS(Bumps!$A$6:$A$2005,A96,Bumps!$C$6:$C$2005,"&lt;&gt;",Bumps!$D$6:$D$2005,"&lt;&gt;")</f>
        <v>0</v>
      </c>
      <c r="R96" s="10"/>
      <c r="S96" s="10"/>
    </row>
    <row r="97" spans="1:19" ht="32" customHeight="1">
      <c r="A97" s="8" t="s">
        <v>110</v>
      </c>
      <c r="B97" s="10"/>
      <c r="E97" s="10"/>
      <c r="F97" s="10"/>
      <c r="G97" s="10"/>
      <c r="H97" s="10"/>
      <c r="I97" s="10"/>
      <c r="K97" s="10"/>
      <c r="M97" s="10"/>
      <c r="N97" s="10"/>
      <c r="O97" s="10"/>
      <c r="P97" s="10"/>
      <c r="Q97" s="11">
        <f>COUNTIFS(Bumps!$A$6:$A$2005,A97,Bumps!$C$6:$C$2005,"&lt;&gt;",Bumps!$D$6:$D$2005,"&lt;&gt;")</f>
        <v>0</v>
      </c>
      <c r="R97" s="10"/>
      <c r="S97" s="10"/>
    </row>
    <row r="98" spans="1:19" ht="32" customHeight="1">
      <c r="A98" s="8" t="s">
        <v>111</v>
      </c>
      <c r="B98" s="10"/>
      <c r="E98" s="10"/>
      <c r="F98" s="10"/>
      <c r="G98" s="10"/>
      <c r="H98" s="10"/>
      <c r="I98" s="10"/>
      <c r="K98" s="10"/>
      <c r="M98" s="10"/>
      <c r="N98" s="10"/>
      <c r="O98" s="10"/>
      <c r="P98" s="10"/>
      <c r="Q98" s="11">
        <f>COUNTIFS(Bumps!$A$6:$A$2005,A98,Bumps!$C$6:$C$2005,"&lt;&gt;",Bumps!$D$6:$D$2005,"&lt;&gt;")</f>
        <v>0</v>
      </c>
      <c r="R98" s="10"/>
      <c r="S98" s="10"/>
    </row>
    <row r="99" spans="1:19" ht="32" customHeight="1">
      <c r="A99" s="8" t="s">
        <v>112</v>
      </c>
      <c r="B99" s="10"/>
      <c r="E99" s="10"/>
      <c r="F99" s="10"/>
      <c r="G99" s="10"/>
      <c r="H99" s="10"/>
      <c r="I99" s="10"/>
      <c r="K99" s="10"/>
      <c r="M99" s="10"/>
      <c r="N99" s="10"/>
      <c r="O99" s="10"/>
      <c r="P99" s="10"/>
      <c r="Q99" s="11">
        <f>COUNTIFS(Bumps!$A$6:$A$2005,A99,Bumps!$C$6:$C$2005,"&lt;&gt;",Bumps!$D$6:$D$2005,"&lt;&gt;")</f>
        <v>0</v>
      </c>
      <c r="R99" s="10"/>
      <c r="S99" s="10"/>
    </row>
    <row r="100" spans="1:19" ht="32" customHeight="1">
      <c r="A100" s="8" t="s">
        <v>113</v>
      </c>
      <c r="B100" s="10"/>
      <c r="E100" s="10"/>
      <c r="F100" s="10"/>
      <c r="G100" s="10"/>
      <c r="H100" s="10"/>
      <c r="I100" s="10"/>
      <c r="K100" s="10"/>
      <c r="M100" s="10"/>
      <c r="N100" s="10"/>
      <c r="O100" s="10"/>
      <c r="P100" s="10"/>
      <c r="Q100" s="11">
        <f>COUNTIFS(Bumps!$A$6:$A$2005,A100,Bumps!$C$6:$C$2005,"&lt;&gt;",Bumps!$D$6:$D$2005,"&lt;&gt;")</f>
        <v>0</v>
      </c>
      <c r="R100" s="10"/>
      <c r="S100" s="10"/>
    </row>
    <row r="101" spans="1:19" ht="32" customHeight="1">
      <c r="A101" s="8" t="s">
        <v>114</v>
      </c>
      <c r="B101" s="10"/>
      <c r="E101" s="10"/>
      <c r="F101" s="10"/>
      <c r="G101" s="10"/>
      <c r="H101" s="10"/>
      <c r="I101" s="10"/>
      <c r="K101" s="10"/>
      <c r="M101" s="10"/>
      <c r="N101" s="10"/>
      <c r="O101" s="10"/>
      <c r="P101" s="10"/>
      <c r="Q101" s="11">
        <f>COUNTIFS(Bumps!$A$6:$A$2005,A101,Bumps!$C$6:$C$2005,"&lt;&gt;",Bumps!$D$6:$D$2005,"&lt;&gt;")</f>
        <v>0</v>
      </c>
      <c r="R101" s="10"/>
      <c r="S101" s="10"/>
    </row>
    <row r="102" spans="1:19" ht="32" customHeight="1">
      <c r="A102" s="8" t="s">
        <v>115</v>
      </c>
      <c r="B102" s="10"/>
      <c r="E102" s="10"/>
      <c r="F102" s="10"/>
      <c r="G102" s="10"/>
      <c r="H102" s="10"/>
      <c r="I102" s="10"/>
      <c r="K102" s="10"/>
      <c r="M102" s="10"/>
      <c r="N102" s="10"/>
      <c r="O102" s="10"/>
      <c r="P102" s="10"/>
      <c r="Q102" s="11">
        <f>COUNTIFS(Bumps!$A$6:$A$2005,A102,Bumps!$C$6:$C$2005,"&lt;&gt;",Bumps!$D$6:$D$2005,"&lt;&gt;")</f>
        <v>0</v>
      </c>
      <c r="R102" s="10"/>
      <c r="S102" s="10"/>
    </row>
    <row r="103" spans="1:19" ht="32" customHeight="1">
      <c r="A103" s="8" t="s">
        <v>116</v>
      </c>
      <c r="B103" s="10"/>
      <c r="E103" s="10"/>
      <c r="F103" s="10"/>
      <c r="G103" s="10"/>
      <c r="H103" s="10"/>
      <c r="I103" s="10"/>
      <c r="K103" s="10"/>
      <c r="M103" s="10"/>
      <c r="N103" s="10"/>
      <c r="O103" s="10"/>
      <c r="P103" s="10"/>
      <c r="Q103" s="11">
        <f>COUNTIFS(Bumps!$A$6:$A$2005,A103,Bumps!$C$6:$C$2005,"&lt;&gt;",Bumps!$D$6:$D$2005,"&lt;&gt;")</f>
        <v>0</v>
      </c>
      <c r="R103" s="10"/>
      <c r="S103" s="10"/>
    </row>
    <row r="104" spans="1:19" ht="32" customHeight="1">
      <c r="A104" s="8" t="s">
        <v>117</v>
      </c>
      <c r="B104" s="10"/>
      <c r="E104" s="10"/>
      <c r="F104" s="10"/>
      <c r="G104" s="10"/>
      <c r="H104" s="10"/>
      <c r="I104" s="10"/>
      <c r="K104" s="10"/>
      <c r="M104" s="10"/>
      <c r="N104" s="10"/>
      <c r="O104" s="10"/>
      <c r="P104" s="10"/>
      <c r="Q104" s="11">
        <f>COUNTIFS(Bumps!$A$6:$A$2005,A104,Bumps!$C$6:$C$2005,"&lt;&gt;",Bumps!$D$6:$D$2005,"&lt;&gt;")</f>
        <v>0</v>
      </c>
      <c r="R104" s="10"/>
      <c r="S104" s="10"/>
    </row>
    <row r="105" spans="1:19" ht="32" customHeight="1">
      <c r="A105" s="8" t="s">
        <v>118</v>
      </c>
      <c r="B105" s="10"/>
      <c r="E105" s="10"/>
      <c r="F105" s="10"/>
      <c r="G105" s="10"/>
      <c r="H105" s="10"/>
      <c r="I105" s="10"/>
      <c r="K105" s="10"/>
      <c r="M105" s="10"/>
      <c r="N105" s="10"/>
      <c r="O105" s="10"/>
      <c r="P105" s="10"/>
      <c r="Q105" s="11">
        <f>COUNTIFS(Bumps!$A$6:$A$2005,A105,Bumps!$C$6:$C$2005,"&lt;&gt;",Bumps!$D$6:$D$2005,"&lt;&gt;")</f>
        <v>0</v>
      </c>
      <c r="R105" s="10"/>
      <c r="S105" s="10"/>
    </row>
    <row r="106" spans="1:19" ht="32" customHeight="1">
      <c r="A106" s="8" t="s">
        <v>119</v>
      </c>
      <c r="B106" s="10"/>
      <c r="E106" s="10"/>
      <c r="F106" s="10"/>
      <c r="G106" s="10"/>
      <c r="H106" s="10"/>
      <c r="I106" s="10"/>
      <c r="K106" s="10"/>
      <c r="M106" s="10"/>
      <c r="N106" s="10"/>
      <c r="O106" s="10"/>
      <c r="P106" s="10"/>
      <c r="Q106" s="11">
        <f>COUNTIFS(Bumps!$A$6:$A$2005,A106,Bumps!$C$6:$C$2005,"&lt;&gt;",Bumps!$D$6:$D$2005,"&lt;&gt;")</f>
        <v>0</v>
      </c>
      <c r="R106" s="10"/>
      <c r="S106" s="10"/>
    </row>
    <row r="107" spans="1:19" ht="32" customHeight="1">
      <c r="A107" s="8" t="s">
        <v>120</v>
      </c>
      <c r="B107" s="10"/>
      <c r="E107" s="10"/>
      <c r="F107" s="10"/>
      <c r="G107" s="10"/>
      <c r="H107" s="10"/>
      <c r="I107" s="10"/>
      <c r="K107" s="10"/>
      <c r="M107" s="10"/>
      <c r="N107" s="10"/>
      <c r="O107" s="10"/>
      <c r="P107" s="10"/>
      <c r="Q107" s="11">
        <f>COUNTIFS(Bumps!$A$6:$A$2005,A107,Bumps!$C$6:$C$2005,"&lt;&gt;",Bumps!$D$6:$D$2005,"&lt;&gt;")</f>
        <v>0</v>
      </c>
      <c r="R107" s="10"/>
      <c r="S107" s="10"/>
    </row>
    <row r="108" spans="1:19" ht="32" customHeight="1">
      <c r="A108" s="8" t="s">
        <v>121</v>
      </c>
      <c r="B108" s="10"/>
      <c r="E108" s="10"/>
      <c r="F108" s="10"/>
      <c r="G108" s="10"/>
      <c r="H108" s="10"/>
      <c r="I108" s="10"/>
      <c r="K108" s="10"/>
      <c r="M108" s="10"/>
      <c r="N108" s="10"/>
      <c r="O108" s="10"/>
      <c r="P108" s="10"/>
      <c r="Q108" s="11">
        <f>COUNTIFS(Bumps!$A$6:$A$2005,A108,Bumps!$C$6:$C$2005,"&lt;&gt;",Bumps!$D$6:$D$2005,"&lt;&gt;")</f>
        <v>0</v>
      </c>
      <c r="R108" s="10"/>
      <c r="S108" s="10"/>
    </row>
    <row r="109" spans="1:19" ht="32" customHeight="1">
      <c r="A109" s="8" t="s">
        <v>122</v>
      </c>
      <c r="B109" s="10"/>
      <c r="E109" s="10"/>
      <c r="F109" s="10"/>
      <c r="G109" s="10"/>
      <c r="H109" s="10"/>
      <c r="I109" s="10"/>
      <c r="K109" s="10"/>
      <c r="M109" s="10"/>
      <c r="N109" s="10"/>
      <c r="O109" s="10"/>
      <c r="P109" s="10"/>
      <c r="Q109" s="11">
        <f>COUNTIFS(Bumps!$A$6:$A$2005,A109,Bumps!$C$6:$C$2005,"&lt;&gt;",Bumps!$D$6:$D$2005,"&lt;&gt;")</f>
        <v>0</v>
      </c>
      <c r="R109" s="10"/>
      <c r="S109" s="10"/>
    </row>
    <row r="110" spans="1:19" ht="32" customHeight="1">
      <c r="A110" s="8" t="s">
        <v>123</v>
      </c>
      <c r="B110" s="10"/>
      <c r="E110" s="10"/>
      <c r="F110" s="10"/>
      <c r="G110" s="10"/>
      <c r="H110" s="10"/>
      <c r="I110" s="10"/>
      <c r="K110" s="10"/>
      <c r="M110" s="10"/>
      <c r="N110" s="10"/>
      <c r="O110" s="10"/>
      <c r="P110" s="10"/>
      <c r="Q110" s="11">
        <f>COUNTIFS(Bumps!$A$6:$A$2005,A110,Bumps!$C$6:$C$2005,"&lt;&gt;",Bumps!$D$6:$D$2005,"&lt;&gt;")</f>
        <v>0</v>
      </c>
      <c r="R110" s="10"/>
      <c r="S110" s="10"/>
    </row>
    <row r="111" spans="1:19" ht="32" customHeight="1">
      <c r="A111" s="8" t="s">
        <v>124</v>
      </c>
      <c r="B111" s="10"/>
      <c r="E111" s="10"/>
      <c r="F111" s="10"/>
      <c r="G111" s="10"/>
      <c r="H111" s="10"/>
      <c r="I111" s="10"/>
      <c r="K111" s="10"/>
      <c r="M111" s="10"/>
      <c r="N111" s="10"/>
      <c r="O111" s="10"/>
      <c r="P111" s="10"/>
      <c r="Q111" s="11">
        <f>COUNTIFS(Bumps!$A$6:$A$2005,A111,Bumps!$C$6:$C$2005,"&lt;&gt;",Bumps!$D$6:$D$2005,"&lt;&gt;")</f>
        <v>0</v>
      </c>
      <c r="R111" s="10"/>
      <c r="S111" s="10"/>
    </row>
    <row r="112" spans="1:19" ht="32" customHeight="1">
      <c r="A112" s="8" t="s">
        <v>125</v>
      </c>
      <c r="B112" s="10"/>
      <c r="E112" s="10"/>
      <c r="F112" s="10"/>
      <c r="G112" s="10"/>
      <c r="H112" s="10"/>
      <c r="I112" s="10"/>
      <c r="K112" s="10"/>
      <c r="M112" s="10"/>
      <c r="N112" s="10"/>
      <c r="O112" s="10"/>
      <c r="P112" s="10"/>
      <c r="Q112" s="11">
        <f>COUNTIFS(Bumps!$A$6:$A$2005,A112,Bumps!$C$6:$C$2005,"&lt;&gt;",Bumps!$D$6:$D$2005,"&lt;&gt;")</f>
        <v>0</v>
      </c>
      <c r="R112" s="10"/>
      <c r="S112" s="10"/>
    </row>
    <row r="113" spans="1:19" ht="32" customHeight="1">
      <c r="A113" s="8" t="s">
        <v>126</v>
      </c>
      <c r="B113" s="10"/>
      <c r="E113" s="10"/>
      <c r="F113" s="10"/>
      <c r="G113" s="10"/>
      <c r="H113" s="10"/>
      <c r="I113" s="10"/>
      <c r="K113" s="10"/>
      <c r="M113" s="10"/>
      <c r="N113" s="10"/>
      <c r="O113" s="10"/>
      <c r="P113" s="10"/>
      <c r="Q113" s="11">
        <f>COUNTIFS(Bumps!$A$6:$A$2005,A113,Bumps!$C$6:$C$2005,"&lt;&gt;",Bumps!$D$6:$D$2005,"&lt;&gt;")</f>
        <v>0</v>
      </c>
      <c r="R113" s="10"/>
      <c r="S113" s="10"/>
    </row>
    <row r="114" spans="1:19" ht="32" customHeight="1">
      <c r="A114" s="8" t="s">
        <v>127</v>
      </c>
      <c r="B114" s="10"/>
      <c r="E114" s="10"/>
      <c r="F114" s="10"/>
      <c r="G114" s="10"/>
      <c r="H114" s="10"/>
      <c r="I114" s="10"/>
      <c r="K114" s="10"/>
      <c r="M114" s="10"/>
      <c r="N114" s="10"/>
      <c r="O114" s="10"/>
      <c r="P114" s="10"/>
      <c r="Q114" s="11">
        <f>COUNTIFS(Bumps!$A$6:$A$2005,A114,Bumps!$C$6:$C$2005,"&lt;&gt;",Bumps!$D$6:$D$2005,"&lt;&gt;")</f>
        <v>0</v>
      </c>
      <c r="R114" s="10"/>
      <c r="S114" s="10"/>
    </row>
    <row r="115" spans="1:19" ht="32" customHeight="1">
      <c r="A115" s="8" t="s">
        <v>128</v>
      </c>
      <c r="B115" s="10"/>
      <c r="E115" s="10"/>
      <c r="F115" s="10"/>
      <c r="G115" s="10"/>
      <c r="H115" s="10"/>
      <c r="I115" s="10"/>
      <c r="K115" s="10"/>
      <c r="M115" s="10"/>
      <c r="N115" s="10"/>
      <c r="O115" s="10"/>
      <c r="P115" s="10"/>
      <c r="Q115" s="11">
        <f>COUNTIFS(Bumps!$A$6:$A$2005,A115,Bumps!$C$6:$C$2005,"&lt;&gt;",Bumps!$D$6:$D$2005,"&lt;&gt;")</f>
        <v>0</v>
      </c>
      <c r="R115" s="10"/>
      <c r="S115" s="10"/>
    </row>
    <row r="116" spans="1:19" ht="32" customHeight="1">
      <c r="A116" s="8" t="s">
        <v>129</v>
      </c>
      <c r="B116" s="10"/>
      <c r="E116" s="10"/>
      <c r="F116" s="10"/>
      <c r="G116" s="10"/>
      <c r="H116" s="10"/>
      <c r="I116" s="10"/>
      <c r="K116" s="10"/>
      <c r="M116" s="10"/>
      <c r="N116" s="10"/>
      <c r="O116" s="10"/>
      <c r="P116" s="10"/>
      <c r="Q116" s="11">
        <f>COUNTIFS(Bumps!$A$6:$A$2005,A116,Bumps!$C$6:$C$2005,"&lt;&gt;",Bumps!$D$6:$D$2005,"&lt;&gt;")</f>
        <v>0</v>
      </c>
      <c r="R116" s="10"/>
      <c r="S116" s="10"/>
    </row>
    <row r="117" spans="1:19" ht="32" customHeight="1">
      <c r="A117" s="8" t="s">
        <v>130</v>
      </c>
      <c r="B117" s="10"/>
      <c r="E117" s="10"/>
      <c r="F117" s="10"/>
      <c r="G117" s="10"/>
      <c r="H117" s="10"/>
      <c r="I117" s="10"/>
      <c r="K117" s="10"/>
      <c r="M117" s="10"/>
      <c r="N117" s="10"/>
      <c r="O117" s="10"/>
      <c r="P117" s="10"/>
      <c r="Q117" s="11">
        <f>COUNTIFS(Bumps!$A$6:$A$2005,A117,Bumps!$C$6:$C$2005,"&lt;&gt;",Bumps!$D$6:$D$2005,"&lt;&gt;")</f>
        <v>0</v>
      </c>
      <c r="R117" s="10"/>
      <c r="S117" s="10"/>
    </row>
    <row r="118" spans="1:19" ht="32" customHeight="1">
      <c r="A118" s="8" t="s">
        <v>131</v>
      </c>
      <c r="B118" s="10"/>
      <c r="E118" s="10"/>
      <c r="F118" s="10"/>
      <c r="G118" s="10"/>
      <c r="H118" s="10"/>
      <c r="I118" s="10"/>
      <c r="K118" s="10"/>
      <c r="M118" s="10"/>
      <c r="N118" s="10"/>
      <c r="O118" s="10"/>
      <c r="P118" s="10"/>
      <c r="Q118" s="11">
        <f>COUNTIFS(Bumps!$A$6:$A$2005,A118,Bumps!$C$6:$C$2005,"&lt;&gt;",Bumps!$D$6:$D$2005,"&lt;&gt;")</f>
        <v>0</v>
      </c>
      <c r="R118" s="10"/>
      <c r="S118" s="10"/>
    </row>
    <row r="119" spans="1:19" ht="32" customHeight="1">
      <c r="A119" s="8" t="s">
        <v>132</v>
      </c>
      <c r="B119" s="10"/>
      <c r="E119" s="10"/>
      <c r="F119" s="10"/>
      <c r="G119" s="10"/>
      <c r="H119" s="10"/>
      <c r="I119" s="10"/>
      <c r="K119" s="10"/>
      <c r="M119" s="10"/>
      <c r="N119" s="10"/>
      <c r="O119" s="10"/>
      <c r="P119" s="10"/>
      <c r="Q119" s="11">
        <f>COUNTIFS(Bumps!$A$6:$A$2005,A119,Bumps!$C$6:$C$2005,"&lt;&gt;",Bumps!$D$6:$D$2005,"&lt;&gt;")</f>
        <v>0</v>
      </c>
      <c r="R119" s="10"/>
      <c r="S119" s="10"/>
    </row>
    <row r="120" spans="1:19" ht="32" customHeight="1">
      <c r="A120" s="8" t="s">
        <v>133</v>
      </c>
      <c r="B120" s="10"/>
      <c r="E120" s="10"/>
      <c r="F120" s="10"/>
      <c r="G120" s="10"/>
      <c r="H120" s="10"/>
      <c r="I120" s="10"/>
      <c r="K120" s="10"/>
      <c r="M120" s="10"/>
      <c r="N120" s="10"/>
      <c r="O120" s="10"/>
      <c r="P120" s="10"/>
      <c r="Q120" s="11">
        <f>COUNTIFS(Bumps!$A$6:$A$2005,A120,Bumps!$C$6:$C$2005,"&lt;&gt;",Bumps!$D$6:$D$2005,"&lt;&gt;")</f>
        <v>0</v>
      </c>
      <c r="R120" s="10"/>
      <c r="S120" s="10"/>
    </row>
    <row r="121" spans="1:19" ht="32" customHeight="1">
      <c r="A121" s="8" t="s">
        <v>134</v>
      </c>
      <c r="B121" s="10"/>
      <c r="E121" s="10"/>
      <c r="F121" s="10"/>
      <c r="G121" s="10"/>
      <c r="H121" s="10"/>
      <c r="I121" s="10"/>
      <c r="K121" s="10"/>
      <c r="M121" s="10"/>
      <c r="N121" s="10"/>
      <c r="O121" s="10"/>
      <c r="P121" s="10"/>
      <c r="Q121" s="11">
        <f>COUNTIFS(Bumps!$A$6:$A$2005,A121,Bumps!$C$6:$C$2005,"&lt;&gt;",Bumps!$D$6:$D$2005,"&lt;&gt;")</f>
        <v>0</v>
      </c>
      <c r="R121" s="10"/>
      <c r="S121" s="10"/>
    </row>
    <row r="122" spans="1:19" ht="32" customHeight="1">
      <c r="A122" s="8" t="s">
        <v>135</v>
      </c>
      <c r="B122" s="10"/>
      <c r="E122" s="10"/>
      <c r="F122" s="10"/>
      <c r="G122" s="10"/>
      <c r="H122" s="10"/>
      <c r="I122" s="10"/>
      <c r="K122" s="10"/>
      <c r="M122" s="10"/>
      <c r="N122" s="10"/>
      <c r="O122" s="10"/>
      <c r="P122" s="10"/>
      <c r="Q122" s="11">
        <f>COUNTIFS(Bumps!$A$6:$A$2005,A122,Bumps!$C$6:$C$2005,"&lt;&gt;",Bumps!$D$6:$D$2005,"&lt;&gt;")</f>
        <v>0</v>
      </c>
      <c r="R122" s="10"/>
      <c r="S122" s="10"/>
    </row>
    <row r="123" spans="1:19" ht="32" customHeight="1">
      <c r="A123" s="8" t="s">
        <v>136</v>
      </c>
      <c r="B123" s="10"/>
      <c r="E123" s="10"/>
      <c r="F123" s="10"/>
      <c r="G123" s="10"/>
      <c r="H123" s="10"/>
      <c r="I123" s="10"/>
      <c r="K123" s="10"/>
      <c r="M123" s="10"/>
      <c r="N123" s="10"/>
      <c r="O123" s="10"/>
      <c r="P123" s="10"/>
      <c r="Q123" s="11">
        <f>COUNTIFS(Bumps!$A$6:$A$2005,A123,Bumps!$C$6:$C$2005,"&lt;&gt;",Bumps!$D$6:$D$2005,"&lt;&gt;")</f>
        <v>0</v>
      </c>
      <c r="R123" s="10"/>
      <c r="S123" s="10"/>
    </row>
    <row r="124" spans="1:19" ht="32" customHeight="1">
      <c r="A124" s="8" t="s">
        <v>137</v>
      </c>
      <c r="B124" s="10"/>
      <c r="E124" s="10"/>
      <c r="F124" s="10"/>
      <c r="G124" s="10"/>
      <c r="H124" s="10"/>
      <c r="I124" s="10"/>
      <c r="K124" s="10"/>
      <c r="M124" s="10"/>
      <c r="N124" s="10"/>
      <c r="O124" s="10"/>
      <c r="P124" s="10"/>
      <c r="Q124" s="11">
        <f>COUNTIFS(Bumps!$A$6:$A$2005,A124,Bumps!$C$6:$C$2005,"&lt;&gt;",Bumps!$D$6:$D$2005,"&lt;&gt;")</f>
        <v>0</v>
      </c>
      <c r="R124" s="10"/>
      <c r="S124" s="10"/>
    </row>
    <row r="125" spans="1:19" ht="32" customHeight="1">
      <c r="A125" s="8" t="s">
        <v>138</v>
      </c>
      <c r="B125" s="10"/>
      <c r="E125" s="10"/>
      <c r="F125" s="10"/>
      <c r="G125" s="10"/>
      <c r="H125" s="10"/>
      <c r="I125" s="10"/>
      <c r="K125" s="10"/>
      <c r="M125" s="10"/>
      <c r="N125" s="10"/>
      <c r="O125" s="10"/>
      <c r="P125" s="10"/>
      <c r="Q125" s="11">
        <f>COUNTIFS(Bumps!$A$6:$A$2005,A125,Bumps!$C$6:$C$2005,"&lt;&gt;",Bumps!$D$6:$D$2005,"&lt;&gt;")</f>
        <v>0</v>
      </c>
      <c r="R125" s="10"/>
      <c r="S125" s="10"/>
    </row>
    <row r="126" spans="1:19" ht="32" customHeight="1">
      <c r="A126" s="8" t="s">
        <v>139</v>
      </c>
      <c r="B126" s="10"/>
      <c r="E126" s="10"/>
      <c r="F126" s="10"/>
      <c r="G126" s="10"/>
      <c r="H126" s="10"/>
      <c r="I126" s="10"/>
      <c r="K126" s="10"/>
      <c r="M126" s="10"/>
      <c r="N126" s="10"/>
      <c r="O126" s="10"/>
      <c r="P126" s="10"/>
      <c r="Q126" s="11">
        <f>COUNTIFS(Bumps!$A$6:$A$2005,A126,Bumps!$C$6:$C$2005,"&lt;&gt;",Bumps!$D$6:$D$2005,"&lt;&gt;")</f>
        <v>0</v>
      </c>
      <c r="R126" s="10"/>
      <c r="S126" s="10"/>
    </row>
    <row r="127" spans="1:19" ht="32" customHeight="1">
      <c r="A127" s="8" t="s">
        <v>140</v>
      </c>
      <c r="B127" s="10"/>
      <c r="E127" s="10"/>
      <c r="F127" s="10"/>
      <c r="G127" s="10"/>
      <c r="H127" s="10"/>
      <c r="I127" s="10"/>
      <c r="K127" s="10"/>
      <c r="M127" s="10"/>
      <c r="N127" s="10"/>
      <c r="O127" s="10"/>
      <c r="P127" s="10"/>
      <c r="Q127" s="11">
        <f>COUNTIFS(Bumps!$A$6:$A$2005,A127,Bumps!$C$6:$C$2005,"&lt;&gt;",Bumps!$D$6:$D$2005,"&lt;&gt;")</f>
        <v>0</v>
      </c>
      <c r="R127" s="10"/>
      <c r="S127" s="10"/>
    </row>
    <row r="128" spans="1:19" ht="32" customHeight="1">
      <c r="A128" s="8" t="s">
        <v>141</v>
      </c>
      <c r="B128" s="10"/>
      <c r="E128" s="10"/>
      <c r="F128" s="10"/>
      <c r="G128" s="10"/>
      <c r="H128" s="10"/>
      <c r="I128" s="10"/>
      <c r="K128" s="10"/>
      <c r="M128" s="10"/>
      <c r="N128" s="10"/>
      <c r="O128" s="10"/>
      <c r="P128" s="10"/>
      <c r="Q128" s="11">
        <f>COUNTIFS(Bumps!$A$6:$A$2005,A128,Bumps!$C$6:$C$2005,"&lt;&gt;",Bumps!$D$6:$D$2005,"&lt;&gt;")</f>
        <v>0</v>
      </c>
      <c r="R128" s="10"/>
      <c r="S128" s="10"/>
    </row>
    <row r="129" spans="1:19" ht="32" customHeight="1">
      <c r="A129" s="8" t="s">
        <v>142</v>
      </c>
      <c r="B129" s="10"/>
      <c r="E129" s="10"/>
      <c r="F129" s="10"/>
      <c r="G129" s="10"/>
      <c r="H129" s="10"/>
      <c r="I129" s="10"/>
      <c r="K129" s="10"/>
      <c r="M129" s="10"/>
      <c r="N129" s="10"/>
      <c r="O129" s="10"/>
      <c r="P129" s="10"/>
      <c r="Q129" s="11">
        <f>COUNTIFS(Bumps!$A$6:$A$2005,A129,Bumps!$C$6:$C$2005,"&lt;&gt;",Bumps!$D$6:$D$2005,"&lt;&gt;")</f>
        <v>0</v>
      </c>
      <c r="R129" s="10"/>
      <c r="S129" s="10"/>
    </row>
    <row r="130" spans="1:19" ht="32" customHeight="1">
      <c r="A130" s="8" t="s">
        <v>143</v>
      </c>
      <c r="B130" s="10"/>
      <c r="E130" s="10"/>
      <c r="F130" s="10"/>
      <c r="G130" s="10"/>
      <c r="H130" s="10"/>
      <c r="I130" s="10"/>
      <c r="K130" s="10"/>
      <c r="M130" s="10"/>
      <c r="N130" s="10"/>
      <c r="O130" s="10"/>
      <c r="P130" s="10"/>
      <c r="Q130" s="11">
        <f>COUNTIFS(Bumps!$A$6:$A$2005,A130,Bumps!$C$6:$C$2005,"&lt;&gt;",Bumps!$D$6:$D$2005,"&lt;&gt;")</f>
        <v>0</v>
      </c>
      <c r="R130" s="10"/>
      <c r="S130" s="10"/>
    </row>
    <row r="131" spans="1:19" ht="32" customHeight="1">
      <c r="A131" s="8" t="s">
        <v>144</v>
      </c>
      <c r="B131" s="10"/>
      <c r="E131" s="10"/>
      <c r="F131" s="10"/>
      <c r="G131" s="10"/>
      <c r="H131" s="10"/>
      <c r="I131" s="10"/>
      <c r="K131" s="10"/>
      <c r="M131" s="10"/>
      <c r="N131" s="10"/>
      <c r="O131" s="10"/>
      <c r="P131" s="10"/>
      <c r="Q131" s="11">
        <f>COUNTIFS(Bumps!$A$6:$A$2005,A131,Bumps!$C$6:$C$2005,"&lt;&gt;",Bumps!$D$6:$D$2005,"&lt;&gt;")</f>
        <v>0</v>
      </c>
      <c r="R131" s="10"/>
      <c r="S131" s="10"/>
    </row>
    <row r="132" spans="1:19" ht="32" customHeight="1">
      <c r="A132" s="8" t="s">
        <v>145</v>
      </c>
      <c r="B132" s="10"/>
      <c r="E132" s="10"/>
      <c r="F132" s="10"/>
      <c r="G132" s="10"/>
      <c r="H132" s="10"/>
      <c r="I132" s="10"/>
      <c r="K132" s="10"/>
      <c r="M132" s="10"/>
      <c r="N132" s="10"/>
      <c r="O132" s="10"/>
      <c r="P132" s="10"/>
      <c r="Q132" s="11">
        <f>COUNTIFS(Bumps!$A$6:$A$2005,A132,Bumps!$C$6:$C$2005,"&lt;&gt;",Bumps!$D$6:$D$2005,"&lt;&gt;")</f>
        <v>0</v>
      </c>
      <c r="R132" s="10"/>
      <c r="S132" s="10"/>
    </row>
    <row r="133" spans="1:19" ht="32" customHeight="1">
      <c r="A133" s="8" t="s">
        <v>146</v>
      </c>
      <c r="B133" s="10"/>
      <c r="E133" s="10"/>
      <c r="F133" s="10"/>
      <c r="G133" s="10"/>
      <c r="H133" s="10"/>
      <c r="I133" s="10"/>
      <c r="K133" s="10"/>
      <c r="M133" s="10"/>
      <c r="N133" s="10"/>
      <c r="O133" s="10"/>
      <c r="P133" s="10"/>
      <c r="Q133" s="11">
        <f>COUNTIFS(Bumps!$A$6:$A$2005,A133,Bumps!$C$6:$C$2005,"&lt;&gt;",Bumps!$D$6:$D$2005,"&lt;&gt;")</f>
        <v>0</v>
      </c>
      <c r="R133" s="10"/>
      <c r="S133" s="10"/>
    </row>
    <row r="134" spans="1:19" ht="32" customHeight="1">
      <c r="A134" s="8" t="s">
        <v>147</v>
      </c>
      <c r="B134" s="10"/>
      <c r="E134" s="10"/>
      <c r="F134" s="10"/>
      <c r="G134" s="10"/>
      <c r="H134" s="10"/>
      <c r="I134" s="10"/>
      <c r="K134" s="10"/>
      <c r="M134" s="10"/>
      <c r="N134" s="10"/>
      <c r="O134" s="10"/>
      <c r="P134" s="10"/>
      <c r="Q134" s="11">
        <f>COUNTIFS(Bumps!$A$6:$A$2005,A134,Bumps!$C$6:$C$2005,"&lt;&gt;",Bumps!$D$6:$D$2005,"&lt;&gt;")</f>
        <v>0</v>
      </c>
      <c r="R134" s="10"/>
      <c r="S134" s="10"/>
    </row>
    <row r="135" spans="1:19" ht="32" customHeight="1">
      <c r="A135" s="8" t="s">
        <v>148</v>
      </c>
      <c r="B135" s="10"/>
      <c r="E135" s="10"/>
      <c r="F135" s="10"/>
      <c r="G135" s="10"/>
      <c r="H135" s="10"/>
      <c r="I135" s="10"/>
      <c r="K135" s="10"/>
      <c r="M135" s="10"/>
      <c r="N135" s="10"/>
      <c r="O135" s="10"/>
      <c r="P135" s="10"/>
      <c r="Q135" s="11">
        <f>COUNTIFS(Bumps!$A$6:$A$2005,A135,Bumps!$C$6:$C$2005,"&lt;&gt;",Bumps!$D$6:$D$2005,"&lt;&gt;")</f>
        <v>0</v>
      </c>
      <c r="R135" s="10"/>
      <c r="S135" s="10"/>
    </row>
    <row r="136" spans="1:19" ht="32" customHeight="1">
      <c r="A136" s="8" t="s">
        <v>149</v>
      </c>
      <c r="B136" s="10"/>
      <c r="E136" s="10"/>
      <c r="F136" s="10"/>
      <c r="G136" s="10"/>
      <c r="H136" s="10"/>
      <c r="I136" s="10"/>
      <c r="K136" s="10"/>
      <c r="M136" s="10"/>
      <c r="N136" s="10"/>
      <c r="O136" s="10"/>
      <c r="P136" s="10"/>
      <c r="Q136" s="11">
        <f>COUNTIFS(Bumps!$A$6:$A$2005,A136,Bumps!$C$6:$C$2005,"&lt;&gt;",Bumps!$D$6:$D$2005,"&lt;&gt;")</f>
        <v>0</v>
      </c>
      <c r="R136" s="10"/>
      <c r="S136" s="10"/>
    </row>
    <row r="137" spans="1:19" ht="32" customHeight="1">
      <c r="A137" s="8" t="s">
        <v>150</v>
      </c>
      <c r="B137" s="10"/>
      <c r="E137" s="10"/>
      <c r="F137" s="10"/>
      <c r="G137" s="10"/>
      <c r="H137" s="10"/>
      <c r="I137" s="10"/>
      <c r="K137" s="10"/>
      <c r="M137" s="10"/>
      <c r="N137" s="10"/>
      <c r="O137" s="10"/>
      <c r="P137" s="10"/>
      <c r="Q137" s="11">
        <f>COUNTIFS(Bumps!$A$6:$A$2005,A137,Bumps!$C$6:$C$2005,"&lt;&gt;",Bumps!$D$6:$D$2005,"&lt;&gt;")</f>
        <v>0</v>
      </c>
      <c r="R137" s="10"/>
      <c r="S137" s="10"/>
    </row>
    <row r="138" spans="1:19" ht="32" customHeight="1">
      <c r="A138" s="8" t="s">
        <v>151</v>
      </c>
      <c r="B138" s="10"/>
      <c r="E138" s="10"/>
      <c r="F138" s="10"/>
      <c r="G138" s="10"/>
      <c r="H138" s="10"/>
      <c r="I138" s="10"/>
      <c r="K138" s="10"/>
      <c r="M138" s="10"/>
      <c r="N138" s="10"/>
      <c r="O138" s="10"/>
      <c r="P138" s="10"/>
      <c r="Q138" s="11">
        <f>COUNTIFS(Bumps!$A$6:$A$2005,A138,Bumps!$C$6:$C$2005,"&lt;&gt;",Bumps!$D$6:$D$2005,"&lt;&gt;")</f>
        <v>0</v>
      </c>
      <c r="R138" s="10"/>
      <c r="S138" s="10"/>
    </row>
    <row r="139" spans="1:19" ht="32" customHeight="1">
      <c r="A139" s="8" t="s">
        <v>152</v>
      </c>
      <c r="B139" s="10"/>
      <c r="E139" s="10"/>
      <c r="F139" s="10"/>
      <c r="G139" s="10"/>
      <c r="H139" s="10"/>
      <c r="I139" s="10"/>
      <c r="K139" s="10"/>
      <c r="M139" s="10"/>
      <c r="N139" s="10"/>
      <c r="O139" s="10"/>
      <c r="P139" s="10"/>
      <c r="Q139" s="11">
        <f>COUNTIFS(Bumps!$A$6:$A$2005,A139,Bumps!$C$6:$C$2005,"&lt;&gt;",Bumps!$D$6:$D$2005,"&lt;&gt;")</f>
        <v>0</v>
      </c>
      <c r="R139" s="10"/>
      <c r="S139" s="10"/>
    </row>
    <row r="140" spans="1:19" ht="32" customHeight="1">
      <c r="A140" s="8" t="s">
        <v>153</v>
      </c>
      <c r="B140" s="10"/>
      <c r="E140" s="10"/>
      <c r="F140" s="10"/>
      <c r="G140" s="10"/>
      <c r="H140" s="10"/>
      <c r="I140" s="10"/>
      <c r="K140" s="10"/>
      <c r="M140" s="10"/>
      <c r="N140" s="10"/>
      <c r="O140" s="10"/>
      <c r="P140" s="10"/>
      <c r="Q140" s="11">
        <f>COUNTIFS(Bumps!$A$6:$A$2005,A140,Bumps!$C$6:$C$2005,"&lt;&gt;",Bumps!$D$6:$D$2005,"&lt;&gt;")</f>
        <v>0</v>
      </c>
      <c r="R140" s="10"/>
      <c r="S140" s="10"/>
    </row>
    <row r="141" spans="1:19" ht="32" customHeight="1">
      <c r="A141" s="8" t="s">
        <v>154</v>
      </c>
      <c r="B141" s="10"/>
      <c r="E141" s="10"/>
      <c r="F141" s="10"/>
      <c r="G141" s="10"/>
      <c r="H141" s="10"/>
      <c r="I141" s="10"/>
      <c r="K141" s="10"/>
      <c r="M141" s="10"/>
      <c r="N141" s="10"/>
      <c r="O141" s="10"/>
      <c r="P141" s="10"/>
      <c r="Q141" s="11">
        <f>COUNTIFS(Bumps!$A$6:$A$2005,A141,Bumps!$C$6:$C$2005,"&lt;&gt;",Bumps!$D$6:$D$2005,"&lt;&gt;")</f>
        <v>0</v>
      </c>
      <c r="R141" s="10"/>
      <c r="S141" s="10"/>
    </row>
    <row r="142" spans="1:19" ht="32" customHeight="1">
      <c r="A142" s="8" t="s">
        <v>155</v>
      </c>
      <c r="B142" s="10"/>
      <c r="E142" s="10"/>
      <c r="F142" s="10"/>
      <c r="G142" s="10"/>
      <c r="H142" s="10"/>
      <c r="I142" s="10"/>
      <c r="K142" s="10"/>
      <c r="M142" s="10"/>
      <c r="N142" s="10"/>
      <c r="O142" s="10"/>
      <c r="P142" s="10"/>
      <c r="Q142" s="11">
        <f>COUNTIFS(Bumps!$A$6:$A$2005,A142,Bumps!$C$6:$C$2005,"&lt;&gt;",Bumps!$D$6:$D$2005,"&lt;&gt;")</f>
        <v>0</v>
      </c>
      <c r="R142" s="10"/>
      <c r="S142" s="10"/>
    </row>
    <row r="143" spans="1:19" ht="32" customHeight="1">
      <c r="A143" s="8" t="s">
        <v>156</v>
      </c>
      <c r="B143" s="10"/>
      <c r="E143" s="10"/>
      <c r="F143" s="10"/>
      <c r="G143" s="10"/>
      <c r="H143" s="10"/>
      <c r="I143" s="10"/>
      <c r="K143" s="10"/>
      <c r="M143" s="10"/>
      <c r="N143" s="10"/>
      <c r="O143" s="10"/>
      <c r="P143" s="10"/>
      <c r="Q143" s="11">
        <f>COUNTIFS(Bumps!$A$6:$A$2005,A143,Bumps!$C$6:$C$2005,"&lt;&gt;",Bumps!$D$6:$D$2005,"&lt;&gt;")</f>
        <v>0</v>
      </c>
      <c r="R143" s="10"/>
      <c r="S143" s="10"/>
    </row>
    <row r="144" spans="1:19" ht="32" customHeight="1">
      <c r="A144" s="8" t="s">
        <v>157</v>
      </c>
      <c r="B144" s="10"/>
      <c r="E144" s="10"/>
      <c r="F144" s="10"/>
      <c r="G144" s="10"/>
      <c r="H144" s="10"/>
      <c r="I144" s="10"/>
      <c r="K144" s="10"/>
      <c r="M144" s="10"/>
      <c r="N144" s="10"/>
      <c r="O144" s="10"/>
      <c r="P144" s="10"/>
      <c r="Q144" s="11">
        <f>COUNTIFS(Bumps!$A$6:$A$2005,A144,Bumps!$C$6:$C$2005,"&lt;&gt;",Bumps!$D$6:$D$2005,"&lt;&gt;")</f>
        <v>0</v>
      </c>
      <c r="R144" s="10"/>
      <c r="S144" s="10"/>
    </row>
    <row r="145" spans="1:19" ht="32" customHeight="1">
      <c r="A145" s="8" t="s">
        <v>158</v>
      </c>
      <c r="B145" s="10"/>
      <c r="E145" s="10"/>
      <c r="F145" s="10"/>
      <c r="G145" s="10"/>
      <c r="H145" s="10"/>
      <c r="I145" s="10"/>
      <c r="K145" s="10"/>
      <c r="M145" s="10"/>
      <c r="N145" s="10"/>
      <c r="O145" s="10"/>
      <c r="P145" s="10"/>
      <c r="Q145" s="11">
        <f>COUNTIFS(Bumps!$A$6:$A$2005,A145,Bumps!$C$6:$C$2005,"&lt;&gt;",Bumps!$D$6:$D$2005,"&lt;&gt;")</f>
        <v>0</v>
      </c>
      <c r="R145" s="10"/>
      <c r="S145" s="10"/>
    </row>
    <row r="146" spans="1:19" ht="32" customHeight="1">
      <c r="A146" s="8" t="s">
        <v>159</v>
      </c>
      <c r="B146" s="10"/>
      <c r="E146" s="10"/>
      <c r="F146" s="10"/>
      <c r="G146" s="10"/>
      <c r="H146" s="10"/>
      <c r="I146" s="10"/>
      <c r="K146" s="10"/>
      <c r="M146" s="10"/>
      <c r="N146" s="10"/>
      <c r="O146" s="10"/>
      <c r="P146" s="10"/>
      <c r="Q146" s="11">
        <f>COUNTIFS(Bumps!$A$6:$A$2005,A146,Bumps!$C$6:$C$2005,"&lt;&gt;",Bumps!$D$6:$D$2005,"&lt;&gt;")</f>
        <v>0</v>
      </c>
      <c r="R146" s="10"/>
      <c r="S146" s="10"/>
    </row>
    <row r="147" spans="1:19" ht="32" customHeight="1">
      <c r="A147" s="8" t="s">
        <v>160</v>
      </c>
      <c r="B147" s="10"/>
      <c r="E147" s="10"/>
      <c r="F147" s="10"/>
      <c r="G147" s="10"/>
      <c r="H147" s="10"/>
      <c r="I147" s="10"/>
      <c r="K147" s="10"/>
      <c r="M147" s="10"/>
      <c r="N147" s="10"/>
      <c r="O147" s="10"/>
      <c r="P147" s="10"/>
      <c r="Q147" s="11">
        <f>COUNTIFS(Bumps!$A$6:$A$2005,A147,Bumps!$C$6:$C$2005,"&lt;&gt;",Bumps!$D$6:$D$2005,"&lt;&gt;")</f>
        <v>0</v>
      </c>
      <c r="R147" s="10"/>
      <c r="S147" s="10"/>
    </row>
    <row r="148" spans="1:19" ht="32" customHeight="1">
      <c r="A148" s="8" t="s">
        <v>161</v>
      </c>
      <c r="B148" s="10"/>
      <c r="E148" s="10"/>
      <c r="F148" s="10"/>
      <c r="G148" s="10"/>
      <c r="H148" s="10"/>
      <c r="I148" s="10"/>
      <c r="K148" s="10"/>
      <c r="M148" s="10"/>
      <c r="N148" s="10"/>
      <c r="O148" s="10"/>
      <c r="P148" s="10"/>
      <c r="Q148" s="11">
        <f>COUNTIFS(Bumps!$A$6:$A$2005,A148,Bumps!$C$6:$C$2005,"&lt;&gt;",Bumps!$D$6:$D$2005,"&lt;&gt;")</f>
        <v>0</v>
      </c>
      <c r="R148" s="10"/>
      <c r="S148" s="10"/>
    </row>
    <row r="149" spans="1:19" ht="32" customHeight="1">
      <c r="A149" s="8" t="s">
        <v>162</v>
      </c>
      <c r="B149" s="10"/>
      <c r="E149" s="10"/>
      <c r="F149" s="10"/>
      <c r="G149" s="10"/>
      <c r="H149" s="10"/>
      <c r="I149" s="10"/>
      <c r="K149" s="10"/>
      <c r="M149" s="10"/>
      <c r="N149" s="10"/>
      <c r="O149" s="10"/>
      <c r="P149" s="10"/>
      <c r="Q149" s="11">
        <f>COUNTIFS(Bumps!$A$6:$A$2005,A149,Bumps!$C$6:$C$2005,"&lt;&gt;",Bumps!$D$6:$D$2005,"&lt;&gt;")</f>
        <v>0</v>
      </c>
      <c r="R149" s="10"/>
      <c r="S149" s="10"/>
    </row>
    <row r="150" spans="1:19" ht="32" customHeight="1">
      <c r="A150" s="8" t="s">
        <v>163</v>
      </c>
      <c r="B150" s="10"/>
      <c r="E150" s="10"/>
      <c r="F150" s="10"/>
      <c r="G150" s="10"/>
      <c r="H150" s="10"/>
      <c r="I150" s="10"/>
      <c r="K150" s="10"/>
      <c r="M150" s="10"/>
      <c r="N150" s="10"/>
      <c r="O150" s="10"/>
      <c r="P150" s="10"/>
      <c r="Q150" s="11">
        <f>COUNTIFS(Bumps!$A$6:$A$2005,A150,Bumps!$C$6:$C$2005,"&lt;&gt;",Bumps!$D$6:$D$2005,"&lt;&gt;")</f>
        <v>0</v>
      </c>
      <c r="R150" s="10"/>
      <c r="S150" s="10"/>
    </row>
    <row r="151" spans="1:19" ht="32" customHeight="1">
      <c r="A151" s="8" t="s">
        <v>164</v>
      </c>
      <c r="B151" s="10"/>
      <c r="E151" s="10"/>
      <c r="F151" s="10"/>
      <c r="G151" s="10"/>
      <c r="H151" s="10"/>
      <c r="I151" s="10"/>
      <c r="K151" s="10"/>
      <c r="M151" s="10"/>
      <c r="N151" s="10"/>
      <c r="O151" s="10"/>
      <c r="P151" s="10"/>
      <c r="Q151" s="11">
        <f>COUNTIFS(Bumps!$A$6:$A$2005,A151,Bumps!$C$6:$C$2005,"&lt;&gt;",Bumps!$D$6:$D$2005,"&lt;&gt;")</f>
        <v>0</v>
      </c>
      <c r="R151" s="10"/>
      <c r="S151" s="10"/>
    </row>
    <row r="152" spans="1:19" ht="32" customHeight="1">
      <c r="A152" s="8" t="s">
        <v>165</v>
      </c>
      <c r="B152" s="10"/>
      <c r="E152" s="10"/>
      <c r="F152" s="10"/>
      <c r="G152" s="10"/>
      <c r="H152" s="10"/>
      <c r="I152" s="10"/>
      <c r="K152" s="10"/>
      <c r="M152" s="10"/>
      <c r="N152" s="10"/>
      <c r="O152" s="10"/>
      <c r="P152" s="10"/>
      <c r="Q152" s="11">
        <f>COUNTIFS(Bumps!$A$6:$A$2005,A152,Bumps!$C$6:$C$2005,"&lt;&gt;",Bumps!$D$6:$D$2005,"&lt;&gt;")</f>
        <v>0</v>
      </c>
      <c r="R152" s="10"/>
      <c r="S152" s="10"/>
    </row>
    <row r="153" spans="1:19" ht="32" customHeight="1">
      <c r="A153" s="8" t="s">
        <v>166</v>
      </c>
      <c r="B153" s="10"/>
      <c r="E153" s="10"/>
      <c r="F153" s="10"/>
      <c r="G153" s="10"/>
      <c r="H153" s="10"/>
      <c r="I153" s="10"/>
      <c r="K153" s="10"/>
      <c r="M153" s="10"/>
      <c r="N153" s="10"/>
      <c r="O153" s="10"/>
      <c r="P153" s="10"/>
      <c r="Q153" s="11">
        <f>COUNTIFS(Bumps!$A$6:$A$2005,A153,Bumps!$C$6:$C$2005,"&lt;&gt;",Bumps!$D$6:$D$2005,"&lt;&gt;")</f>
        <v>0</v>
      </c>
      <c r="R153" s="10"/>
      <c r="S153" s="10"/>
    </row>
    <row r="154" spans="1:19" ht="32" customHeight="1">
      <c r="A154" s="8" t="s">
        <v>167</v>
      </c>
      <c r="B154" s="10"/>
      <c r="E154" s="10"/>
      <c r="F154" s="10"/>
      <c r="G154" s="10"/>
      <c r="H154" s="10"/>
      <c r="I154" s="10"/>
      <c r="K154" s="10"/>
      <c r="M154" s="10"/>
      <c r="N154" s="10"/>
      <c r="O154" s="10"/>
      <c r="P154" s="10"/>
      <c r="Q154" s="11">
        <f>COUNTIFS(Bumps!$A$6:$A$2005,A154,Bumps!$C$6:$C$2005,"&lt;&gt;",Bumps!$D$6:$D$2005,"&lt;&gt;")</f>
        <v>0</v>
      </c>
      <c r="R154" s="10"/>
      <c r="S154" s="10"/>
    </row>
    <row r="155" spans="1:19" ht="32" customHeight="1">
      <c r="A155" s="8" t="s">
        <v>168</v>
      </c>
      <c r="B155" s="10"/>
      <c r="E155" s="10"/>
      <c r="F155" s="10"/>
      <c r="G155" s="10"/>
      <c r="H155" s="10"/>
      <c r="I155" s="10"/>
      <c r="K155" s="10"/>
      <c r="M155" s="10"/>
      <c r="N155" s="10"/>
      <c r="O155" s="10"/>
      <c r="P155" s="10"/>
      <c r="Q155" s="11">
        <f>COUNTIFS(Bumps!$A$6:$A$2005,A155,Bumps!$C$6:$C$2005,"&lt;&gt;",Bumps!$D$6:$D$2005,"&lt;&gt;")</f>
        <v>0</v>
      </c>
      <c r="R155" s="10"/>
      <c r="S155" s="10"/>
    </row>
    <row r="156" spans="1:19" ht="32" customHeight="1">
      <c r="A156" s="8" t="s">
        <v>169</v>
      </c>
      <c r="B156" s="10"/>
      <c r="E156" s="10"/>
      <c r="F156" s="10"/>
      <c r="G156" s="10"/>
      <c r="H156" s="10"/>
      <c r="I156" s="10"/>
      <c r="K156" s="10"/>
      <c r="M156" s="10"/>
      <c r="N156" s="10"/>
      <c r="O156" s="10"/>
      <c r="P156" s="10"/>
      <c r="Q156" s="11">
        <f>COUNTIFS(Bumps!$A$6:$A$2005,A156,Bumps!$C$6:$C$2005,"&lt;&gt;",Bumps!$D$6:$D$2005,"&lt;&gt;")</f>
        <v>0</v>
      </c>
      <c r="R156" s="10"/>
      <c r="S156" s="10"/>
    </row>
    <row r="157" spans="1:19" ht="32" customHeight="1">
      <c r="A157" s="8" t="s">
        <v>170</v>
      </c>
      <c r="B157" s="10"/>
      <c r="E157" s="10"/>
      <c r="F157" s="10"/>
      <c r="G157" s="10"/>
      <c r="H157" s="10"/>
      <c r="I157" s="10"/>
      <c r="K157" s="10"/>
      <c r="M157" s="10"/>
      <c r="N157" s="10"/>
      <c r="O157" s="10"/>
      <c r="P157" s="10"/>
      <c r="Q157" s="11">
        <f>COUNTIFS(Bumps!$A$6:$A$2005,A157,Bumps!$C$6:$C$2005,"&lt;&gt;",Bumps!$D$6:$D$2005,"&lt;&gt;")</f>
        <v>0</v>
      </c>
      <c r="R157" s="10"/>
      <c r="S157" s="10"/>
    </row>
    <row r="158" spans="1:19" ht="32" customHeight="1">
      <c r="A158" s="8" t="s">
        <v>171</v>
      </c>
      <c r="B158" s="10"/>
      <c r="E158" s="10"/>
      <c r="F158" s="10"/>
      <c r="G158" s="10"/>
      <c r="H158" s="10"/>
      <c r="I158" s="10"/>
      <c r="K158" s="10"/>
      <c r="M158" s="10"/>
      <c r="N158" s="10"/>
      <c r="O158" s="10"/>
      <c r="P158" s="10"/>
      <c r="Q158" s="11">
        <f>COUNTIFS(Bumps!$A$6:$A$2005,A158,Bumps!$C$6:$C$2005,"&lt;&gt;",Bumps!$D$6:$D$2005,"&lt;&gt;")</f>
        <v>0</v>
      </c>
      <c r="R158" s="10"/>
      <c r="S158" s="10"/>
    </row>
    <row r="159" spans="1:19" ht="32" customHeight="1">
      <c r="A159" s="8" t="s">
        <v>172</v>
      </c>
      <c r="B159" s="10"/>
      <c r="E159" s="10"/>
      <c r="F159" s="10"/>
      <c r="G159" s="10"/>
      <c r="H159" s="10"/>
      <c r="I159" s="10"/>
      <c r="K159" s="10"/>
      <c r="M159" s="10"/>
      <c r="N159" s="10"/>
      <c r="O159" s="10"/>
      <c r="P159" s="10"/>
      <c r="Q159" s="11">
        <f>COUNTIFS(Bumps!$A$6:$A$2005,A159,Bumps!$C$6:$C$2005,"&lt;&gt;",Bumps!$D$6:$D$2005,"&lt;&gt;")</f>
        <v>0</v>
      </c>
      <c r="R159" s="10"/>
      <c r="S159" s="10"/>
    </row>
    <row r="160" spans="1:19" ht="32" customHeight="1">
      <c r="A160" s="8" t="s">
        <v>173</v>
      </c>
      <c r="B160" s="10"/>
      <c r="E160" s="10"/>
      <c r="F160" s="10"/>
      <c r="G160" s="10"/>
      <c r="H160" s="10"/>
      <c r="I160" s="10"/>
      <c r="K160" s="10"/>
      <c r="M160" s="10"/>
      <c r="N160" s="10"/>
      <c r="O160" s="10"/>
      <c r="P160" s="10"/>
      <c r="Q160" s="11">
        <f>COUNTIFS(Bumps!$A$6:$A$2005,A160,Bumps!$C$6:$C$2005,"&lt;&gt;",Bumps!$D$6:$D$2005,"&lt;&gt;")</f>
        <v>0</v>
      </c>
      <c r="R160" s="10"/>
      <c r="S160" s="10"/>
    </row>
    <row r="161" spans="1:19" ht="32" customHeight="1">
      <c r="A161" s="8" t="s">
        <v>174</v>
      </c>
      <c r="B161" s="10"/>
      <c r="E161" s="10"/>
      <c r="F161" s="10"/>
      <c r="G161" s="10"/>
      <c r="H161" s="10"/>
      <c r="I161" s="10"/>
      <c r="K161" s="10"/>
      <c r="M161" s="10"/>
      <c r="N161" s="10"/>
      <c r="O161" s="10"/>
      <c r="P161" s="10"/>
      <c r="Q161" s="11">
        <f>COUNTIFS(Bumps!$A$6:$A$2005,A161,Bumps!$C$6:$C$2005,"&lt;&gt;",Bumps!$D$6:$D$2005,"&lt;&gt;")</f>
        <v>0</v>
      </c>
      <c r="R161" s="10"/>
      <c r="S161" s="10"/>
    </row>
    <row r="162" spans="1:19" ht="32" customHeight="1">
      <c r="A162" s="8" t="s">
        <v>175</v>
      </c>
      <c r="B162" s="10"/>
      <c r="E162" s="10"/>
      <c r="F162" s="10"/>
      <c r="G162" s="10"/>
      <c r="H162" s="10"/>
      <c r="I162" s="10"/>
      <c r="K162" s="10"/>
      <c r="M162" s="10"/>
      <c r="N162" s="10"/>
      <c r="O162" s="10"/>
      <c r="P162" s="10"/>
      <c r="Q162" s="11">
        <f>COUNTIFS(Bumps!$A$6:$A$2005,A162,Bumps!$C$6:$C$2005,"&lt;&gt;",Bumps!$D$6:$D$2005,"&lt;&gt;")</f>
        <v>0</v>
      </c>
      <c r="R162" s="10"/>
      <c r="S162" s="10"/>
    </row>
    <row r="163" spans="1:19" ht="32" customHeight="1">
      <c r="A163" s="8" t="s">
        <v>176</v>
      </c>
      <c r="B163" s="10"/>
      <c r="E163" s="10"/>
      <c r="F163" s="10"/>
      <c r="G163" s="10"/>
      <c r="H163" s="10"/>
      <c r="I163" s="10"/>
      <c r="K163" s="10"/>
      <c r="M163" s="10"/>
      <c r="N163" s="10"/>
      <c r="O163" s="10"/>
      <c r="P163" s="10"/>
      <c r="Q163" s="11">
        <f>COUNTIFS(Bumps!$A$6:$A$2005,A163,Bumps!$C$6:$C$2005,"&lt;&gt;",Bumps!$D$6:$D$2005,"&lt;&gt;")</f>
        <v>0</v>
      </c>
      <c r="R163" s="10"/>
      <c r="S163" s="10"/>
    </row>
    <row r="164" spans="1:19" ht="32" customHeight="1">
      <c r="A164" s="8" t="s">
        <v>177</v>
      </c>
      <c r="B164" s="10"/>
      <c r="E164" s="10"/>
      <c r="F164" s="10"/>
      <c r="G164" s="10"/>
      <c r="H164" s="10"/>
      <c r="I164" s="10"/>
      <c r="K164" s="10"/>
      <c r="M164" s="10"/>
      <c r="N164" s="10"/>
      <c r="O164" s="10"/>
      <c r="P164" s="10"/>
      <c r="Q164" s="11">
        <f>COUNTIFS(Bumps!$A$6:$A$2005,A164,Bumps!$C$6:$C$2005,"&lt;&gt;",Bumps!$D$6:$D$2005,"&lt;&gt;")</f>
        <v>0</v>
      </c>
      <c r="R164" s="10"/>
      <c r="S164" s="10"/>
    </row>
    <row r="165" spans="1:19" ht="32" customHeight="1">
      <c r="A165" s="8" t="s">
        <v>178</v>
      </c>
      <c r="B165" s="10"/>
      <c r="E165" s="10"/>
      <c r="F165" s="10"/>
      <c r="G165" s="10"/>
      <c r="H165" s="10"/>
      <c r="I165" s="10"/>
      <c r="K165" s="10"/>
      <c r="M165" s="10"/>
      <c r="N165" s="10"/>
      <c r="O165" s="10"/>
      <c r="P165" s="10"/>
      <c r="Q165" s="11">
        <f>COUNTIFS(Bumps!$A$6:$A$2005,A165,Bumps!$C$6:$C$2005,"&lt;&gt;",Bumps!$D$6:$D$2005,"&lt;&gt;")</f>
        <v>0</v>
      </c>
      <c r="R165" s="10"/>
      <c r="S165" s="10"/>
    </row>
    <row r="166" spans="1:19" ht="32" customHeight="1">
      <c r="A166" s="8" t="s">
        <v>179</v>
      </c>
      <c r="B166" s="10"/>
      <c r="E166" s="10"/>
      <c r="F166" s="10"/>
      <c r="G166" s="10"/>
      <c r="H166" s="10"/>
      <c r="I166" s="10"/>
      <c r="K166" s="10"/>
      <c r="M166" s="10"/>
      <c r="N166" s="10"/>
      <c r="O166" s="10"/>
      <c r="P166" s="10"/>
      <c r="Q166" s="11">
        <f>COUNTIFS(Bumps!$A$6:$A$2005,A166,Bumps!$C$6:$C$2005,"&lt;&gt;",Bumps!$D$6:$D$2005,"&lt;&gt;")</f>
        <v>0</v>
      </c>
      <c r="R166" s="10"/>
      <c r="S166" s="10"/>
    </row>
    <row r="167" spans="1:19" ht="32" customHeight="1">
      <c r="A167" s="8" t="s">
        <v>180</v>
      </c>
      <c r="B167" s="10"/>
      <c r="E167" s="10"/>
      <c r="F167" s="10"/>
      <c r="G167" s="10"/>
      <c r="H167" s="10"/>
      <c r="I167" s="10"/>
      <c r="K167" s="10"/>
      <c r="M167" s="10"/>
      <c r="N167" s="10"/>
      <c r="O167" s="10"/>
      <c r="P167" s="10"/>
      <c r="Q167" s="11">
        <f>COUNTIFS(Bumps!$A$6:$A$2005,A167,Bumps!$C$6:$C$2005,"&lt;&gt;",Bumps!$D$6:$D$2005,"&lt;&gt;")</f>
        <v>0</v>
      </c>
      <c r="R167" s="10"/>
      <c r="S167" s="10"/>
    </row>
    <row r="168" spans="1:19" ht="32" customHeight="1">
      <c r="A168" s="8" t="s">
        <v>181</v>
      </c>
      <c r="B168" s="10"/>
      <c r="E168" s="10"/>
      <c r="F168" s="10"/>
      <c r="G168" s="10"/>
      <c r="H168" s="10"/>
      <c r="I168" s="10"/>
      <c r="K168" s="10"/>
      <c r="M168" s="10"/>
      <c r="N168" s="10"/>
      <c r="O168" s="10"/>
      <c r="P168" s="10"/>
      <c r="Q168" s="11">
        <f>COUNTIFS(Bumps!$A$6:$A$2005,A168,Bumps!$C$6:$C$2005,"&lt;&gt;",Bumps!$D$6:$D$2005,"&lt;&gt;")</f>
        <v>0</v>
      </c>
      <c r="R168" s="10"/>
      <c r="S168" s="10"/>
    </row>
    <row r="169" spans="1:19" ht="32" customHeight="1">
      <c r="A169" s="8" t="s">
        <v>182</v>
      </c>
      <c r="B169" s="10"/>
      <c r="E169" s="10"/>
      <c r="F169" s="10"/>
      <c r="G169" s="10"/>
      <c r="H169" s="10"/>
      <c r="I169" s="10"/>
      <c r="K169" s="10"/>
      <c r="M169" s="10"/>
      <c r="N169" s="10"/>
      <c r="O169" s="10"/>
      <c r="P169" s="10"/>
      <c r="Q169" s="11">
        <f>COUNTIFS(Bumps!$A$6:$A$2005,A169,Bumps!$C$6:$C$2005,"&lt;&gt;",Bumps!$D$6:$D$2005,"&lt;&gt;")</f>
        <v>0</v>
      </c>
      <c r="R169" s="10"/>
      <c r="S169" s="10"/>
    </row>
    <row r="170" spans="1:19" ht="32" customHeight="1">
      <c r="A170" s="8" t="s">
        <v>183</v>
      </c>
      <c r="B170" s="10"/>
      <c r="E170" s="10"/>
      <c r="F170" s="10"/>
      <c r="G170" s="10"/>
      <c r="H170" s="10"/>
      <c r="I170" s="10"/>
      <c r="K170" s="10"/>
      <c r="M170" s="10"/>
      <c r="N170" s="10"/>
      <c r="O170" s="10"/>
      <c r="P170" s="10"/>
      <c r="Q170" s="11">
        <f>COUNTIFS(Bumps!$A$6:$A$2005,A170,Bumps!$C$6:$C$2005,"&lt;&gt;",Bumps!$D$6:$D$2005,"&lt;&gt;")</f>
        <v>0</v>
      </c>
      <c r="R170" s="10"/>
      <c r="S170" s="10"/>
    </row>
    <row r="171" spans="1:19" ht="32" customHeight="1">
      <c r="A171" s="8" t="s">
        <v>184</v>
      </c>
      <c r="B171" s="10"/>
      <c r="E171" s="10"/>
      <c r="F171" s="10"/>
      <c r="G171" s="10"/>
      <c r="H171" s="10"/>
      <c r="I171" s="10"/>
      <c r="K171" s="10"/>
      <c r="M171" s="10"/>
      <c r="N171" s="10"/>
      <c r="O171" s="10"/>
      <c r="P171" s="10"/>
      <c r="Q171" s="11">
        <f>COUNTIFS(Bumps!$A$6:$A$2005,A171,Bumps!$C$6:$C$2005,"&lt;&gt;",Bumps!$D$6:$D$2005,"&lt;&gt;")</f>
        <v>0</v>
      </c>
      <c r="R171" s="10"/>
      <c r="S171" s="10"/>
    </row>
    <row r="172" spans="1:19" ht="32" customHeight="1">
      <c r="A172" s="8" t="s">
        <v>185</v>
      </c>
      <c r="B172" s="10"/>
      <c r="E172" s="10"/>
      <c r="F172" s="10"/>
      <c r="G172" s="10"/>
      <c r="H172" s="10"/>
      <c r="I172" s="10"/>
      <c r="K172" s="10"/>
      <c r="M172" s="10"/>
      <c r="N172" s="10"/>
      <c r="O172" s="10"/>
      <c r="P172" s="10"/>
      <c r="Q172" s="11">
        <f>COUNTIFS(Bumps!$A$6:$A$2005,A172,Bumps!$C$6:$C$2005,"&lt;&gt;",Bumps!$D$6:$D$2005,"&lt;&gt;")</f>
        <v>0</v>
      </c>
      <c r="R172" s="10"/>
      <c r="S172" s="10"/>
    </row>
    <row r="173" spans="1:19" ht="32" customHeight="1">
      <c r="A173" s="8" t="s">
        <v>186</v>
      </c>
      <c r="B173" s="10"/>
      <c r="E173" s="10"/>
      <c r="F173" s="10"/>
      <c r="G173" s="10"/>
      <c r="H173" s="10"/>
      <c r="I173" s="10"/>
      <c r="K173" s="10"/>
      <c r="M173" s="10"/>
      <c r="N173" s="10"/>
      <c r="O173" s="10"/>
      <c r="P173" s="10"/>
      <c r="Q173" s="11">
        <f>COUNTIFS(Bumps!$A$6:$A$2005,A173,Bumps!$C$6:$C$2005,"&lt;&gt;",Bumps!$D$6:$D$2005,"&lt;&gt;")</f>
        <v>0</v>
      </c>
      <c r="R173" s="10"/>
      <c r="S173" s="10"/>
    </row>
    <row r="174" spans="1:19" ht="32" customHeight="1">
      <c r="A174" s="8" t="s">
        <v>187</v>
      </c>
      <c r="B174" s="10"/>
      <c r="E174" s="10"/>
      <c r="F174" s="10"/>
      <c r="G174" s="10"/>
      <c r="H174" s="10"/>
      <c r="I174" s="10"/>
      <c r="K174" s="10"/>
      <c r="M174" s="10"/>
      <c r="N174" s="10"/>
      <c r="O174" s="10"/>
      <c r="P174" s="10"/>
      <c r="Q174" s="11">
        <f>COUNTIFS(Bumps!$A$6:$A$2005,A174,Bumps!$C$6:$C$2005,"&lt;&gt;",Bumps!$D$6:$D$2005,"&lt;&gt;")</f>
        <v>0</v>
      </c>
      <c r="R174" s="10"/>
      <c r="S174" s="10"/>
    </row>
    <row r="175" spans="1:19" ht="32" customHeight="1">
      <c r="A175" s="8" t="s">
        <v>188</v>
      </c>
      <c r="B175" s="10"/>
      <c r="E175" s="10"/>
      <c r="F175" s="10"/>
      <c r="G175" s="10"/>
      <c r="H175" s="10"/>
      <c r="I175" s="10"/>
      <c r="K175" s="10"/>
      <c r="M175" s="10"/>
      <c r="N175" s="10"/>
      <c r="O175" s="10"/>
      <c r="P175" s="10"/>
      <c r="Q175" s="11">
        <f>COUNTIFS(Bumps!$A$6:$A$2005,A175,Bumps!$C$6:$C$2005,"&lt;&gt;",Bumps!$D$6:$D$2005,"&lt;&gt;")</f>
        <v>0</v>
      </c>
      <c r="R175" s="10"/>
      <c r="S175" s="10"/>
    </row>
    <row r="176" spans="1:19" ht="32" customHeight="1">
      <c r="A176" s="8" t="s">
        <v>189</v>
      </c>
      <c r="B176" s="10"/>
      <c r="E176" s="10"/>
      <c r="F176" s="10"/>
      <c r="G176" s="10"/>
      <c r="H176" s="10"/>
      <c r="I176" s="10"/>
      <c r="K176" s="10"/>
      <c r="M176" s="10"/>
      <c r="N176" s="10"/>
      <c r="O176" s="10"/>
      <c r="P176" s="10"/>
      <c r="Q176" s="11">
        <f>COUNTIFS(Bumps!$A$6:$A$2005,A176,Bumps!$C$6:$C$2005,"&lt;&gt;",Bumps!$D$6:$D$2005,"&lt;&gt;")</f>
        <v>0</v>
      </c>
      <c r="R176" s="10"/>
      <c r="S176" s="10"/>
    </row>
    <row r="177" spans="1:19" ht="32" customHeight="1">
      <c r="A177" s="8" t="s">
        <v>190</v>
      </c>
      <c r="B177" s="10"/>
      <c r="E177" s="10"/>
      <c r="F177" s="10"/>
      <c r="G177" s="10"/>
      <c r="H177" s="10"/>
      <c r="I177" s="10"/>
      <c r="K177" s="10"/>
      <c r="M177" s="10"/>
      <c r="N177" s="10"/>
      <c r="O177" s="10"/>
      <c r="P177" s="10"/>
      <c r="Q177" s="11">
        <f>COUNTIFS(Bumps!$A$6:$A$2005,A177,Bumps!$C$6:$C$2005,"&lt;&gt;",Bumps!$D$6:$D$2005,"&lt;&gt;")</f>
        <v>0</v>
      </c>
      <c r="R177" s="10"/>
      <c r="S177" s="10"/>
    </row>
    <row r="178" spans="1:19" ht="32" customHeight="1">
      <c r="A178" s="8" t="s">
        <v>191</v>
      </c>
      <c r="B178" s="10"/>
      <c r="E178" s="10"/>
      <c r="F178" s="10"/>
      <c r="G178" s="10"/>
      <c r="H178" s="10"/>
      <c r="I178" s="10"/>
      <c r="K178" s="10"/>
      <c r="M178" s="10"/>
      <c r="N178" s="10"/>
      <c r="O178" s="10"/>
      <c r="P178" s="10"/>
      <c r="Q178" s="11">
        <f>COUNTIFS(Bumps!$A$6:$A$2005,A178,Bumps!$C$6:$C$2005,"&lt;&gt;",Bumps!$D$6:$D$2005,"&lt;&gt;")</f>
        <v>0</v>
      </c>
      <c r="R178" s="10"/>
      <c r="S178" s="10"/>
    </row>
    <row r="179" spans="1:19" ht="32" customHeight="1">
      <c r="A179" s="8" t="s">
        <v>192</v>
      </c>
      <c r="B179" s="10"/>
      <c r="E179" s="10"/>
      <c r="F179" s="10"/>
      <c r="G179" s="10"/>
      <c r="H179" s="10"/>
      <c r="I179" s="10"/>
      <c r="K179" s="10"/>
      <c r="M179" s="10"/>
      <c r="N179" s="10"/>
      <c r="O179" s="10"/>
      <c r="P179" s="10"/>
      <c r="Q179" s="11">
        <f>COUNTIFS(Bumps!$A$6:$A$2005,A179,Bumps!$C$6:$C$2005,"&lt;&gt;",Bumps!$D$6:$D$2005,"&lt;&gt;")</f>
        <v>0</v>
      </c>
      <c r="R179" s="10"/>
      <c r="S179" s="10"/>
    </row>
    <row r="180" spans="1:19" ht="32" customHeight="1">
      <c r="A180" s="8" t="s">
        <v>193</v>
      </c>
      <c r="B180" s="10"/>
      <c r="E180" s="10"/>
      <c r="F180" s="10"/>
      <c r="G180" s="10"/>
      <c r="H180" s="10"/>
      <c r="I180" s="10"/>
      <c r="K180" s="10"/>
      <c r="M180" s="10"/>
      <c r="N180" s="10"/>
      <c r="O180" s="10"/>
      <c r="P180" s="10"/>
      <c r="Q180" s="11">
        <f>COUNTIFS(Bumps!$A$6:$A$2005,A180,Bumps!$C$6:$C$2005,"&lt;&gt;",Bumps!$D$6:$D$2005,"&lt;&gt;")</f>
        <v>0</v>
      </c>
      <c r="R180" s="10"/>
      <c r="S180" s="10"/>
    </row>
    <row r="181" spans="1:19" ht="32" customHeight="1">
      <c r="A181" s="8" t="s">
        <v>194</v>
      </c>
      <c r="B181" s="10"/>
      <c r="E181" s="10"/>
      <c r="F181" s="10"/>
      <c r="G181" s="10"/>
      <c r="H181" s="10"/>
      <c r="I181" s="10"/>
      <c r="K181" s="10"/>
      <c r="M181" s="10"/>
      <c r="N181" s="10"/>
      <c r="O181" s="10"/>
      <c r="P181" s="10"/>
      <c r="Q181" s="11">
        <f>COUNTIFS(Bumps!$A$6:$A$2005,A181,Bumps!$C$6:$C$2005,"&lt;&gt;",Bumps!$D$6:$D$2005,"&lt;&gt;")</f>
        <v>0</v>
      </c>
      <c r="R181" s="10"/>
      <c r="S181" s="10"/>
    </row>
    <row r="182" spans="1:19" ht="32" customHeight="1">
      <c r="A182" s="8" t="s">
        <v>195</v>
      </c>
      <c r="B182" s="10"/>
      <c r="E182" s="10"/>
      <c r="F182" s="10"/>
      <c r="G182" s="10"/>
      <c r="H182" s="10"/>
      <c r="I182" s="10"/>
      <c r="K182" s="10"/>
      <c r="M182" s="10"/>
      <c r="N182" s="10"/>
      <c r="O182" s="10"/>
      <c r="P182" s="10"/>
      <c r="Q182" s="11">
        <f>COUNTIFS(Bumps!$A$6:$A$2005,A182,Bumps!$C$6:$C$2005,"&lt;&gt;",Bumps!$D$6:$D$2005,"&lt;&gt;")</f>
        <v>0</v>
      </c>
      <c r="R182" s="10"/>
      <c r="S182" s="10"/>
    </row>
    <row r="183" spans="1:19" ht="32" customHeight="1">
      <c r="A183" s="8" t="s">
        <v>196</v>
      </c>
      <c r="B183" s="10"/>
      <c r="E183" s="10"/>
      <c r="F183" s="10"/>
      <c r="G183" s="10"/>
      <c r="H183" s="10"/>
      <c r="I183" s="10"/>
      <c r="K183" s="10"/>
      <c r="M183" s="10"/>
      <c r="N183" s="10"/>
      <c r="O183" s="10"/>
      <c r="P183" s="10"/>
      <c r="Q183" s="11">
        <f>COUNTIFS(Bumps!$A$6:$A$2005,A183,Bumps!$C$6:$C$2005,"&lt;&gt;",Bumps!$D$6:$D$2005,"&lt;&gt;")</f>
        <v>0</v>
      </c>
      <c r="R183" s="10"/>
      <c r="S183" s="10"/>
    </row>
    <row r="184" spans="1:19" ht="32" customHeight="1">
      <c r="A184" s="8" t="s">
        <v>197</v>
      </c>
      <c r="B184" s="10"/>
      <c r="E184" s="10"/>
      <c r="F184" s="10"/>
      <c r="G184" s="10"/>
      <c r="H184" s="10"/>
      <c r="I184" s="10"/>
      <c r="K184" s="10"/>
      <c r="M184" s="10"/>
      <c r="N184" s="10"/>
      <c r="O184" s="10"/>
      <c r="P184" s="10"/>
      <c r="Q184" s="11">
        <f>COUNTIFS(Bumps!$A$6:$A$2005,A184,Bumps!$C$6:$C$2005,"&lt;&gt;",Bumps!$D$6:$D$2005,"&lt;&gt;")</f>
        <v>0</v>
      </c>
      <c r="R184" s="10"/>
      <c r="S184" s="10"/>
    </row>
    <row r="185" spans="1:19" ht="32" customHeight="1">
      <c r="A185" s="8" t="s">
        <v>198</v>
      </c>
      <c r="B185" s="10"/>
      <c r="E185" s="10"/>
      <c r="F185" s="10"/>
      <c r="G185" s="10"/>
      <c r="H185" s="10"/>
      <c r="I185" s="10"/>
      <c r="K185" s="10"/>
      <c r="M185" s="10"/>
      <c r="N185" s="10"/>
      <c r="O185" s="10"/>
      <c r="P185" s="10"/>
      <c r="Q185" s="11">
        <f>COUNTIFS(Bumps!$A$6:$A$2005,A185,Bumps!$C$6:$C$2005,"&lt;&gt;",Bumps!$D$6:$D$2005,"&lt;&gt;")</f>
        <v>0</v>
      </c>
      <c r="R185" s="10"/>
      <c r="S185" s="10"/>
    </row>
    <row r="186" spans="1:19" ht="32" customHeight="1">
      <c r="A186" s="8" t="s">
        <v>199</v>
      </c>
      <c r="B186" s="10"/>
      <c r="E186" s="10"/>
      <c r="F186" s="10"/>
      <c r="G186" s="10"/>
      <c r="H186" s="10"/>
      <c r="I186" s="10"/>
      <c r="K186" s="10"/>
      <c r="M186" s="10"/>
      <c r="N186" s="10"/>
      <c r="O186" s="10"/>
      <c r="P186" s="10"/>
      <c r="Q186" s="11">
        <f>COUNTIFS(Bumps!$A$6:$A$2005,A186,Bumps!$C$6:$C$2005,"&lt;&gt;",Bumps!$D$6:$D$2005,"&lt;&gt;")</f>
        <v>0</v>
      </c>
      <c r="R186" s="10"/>
      <c r="S186" s="10"/>
    </row>
    <row r="187" spans="1:19" ht="32" customHeight="1">
      <c r="A187" s="8" t="s">
        <v>200</v>
      </c>
      <c r="B187" s="10"/>
      <c r="E187" s="10"/>
      <c r="F187" s="10"/>
      <c r="G187" s="10"/>
      <c r="H187" s="10"/>
      <c r="I187" s="10"/>
      <c r="K187" s="10"/>
      <c r="M187" s="10"/>
      <c r="N187" s="10"/>
      <c r="O187" s="10"/>
      <c r="P187" s="10"/>
      <c r="Q187" s="11">
        <f>COUNTIFS(Bumps!$A$6:$A$2005,A187,Bumps!$C$6:$C$2005,"&lt;&gt;",Bumps!$D$6:$D$2005,"&lt;&gt;")</f>
        <v>0</v>
      </c>
      <c r="R187" s="10"/>
      <c r="S187" s="10"/>
    </row>
    <row r="188" spans="1:19" ht="32" customHeight="1">
      <c r="A188" s="8" t="s">
        <v>201</v>
      </c>
      <c r="B188" s="10"/>
      <c r="E188" s="10"/>
      <c r="F188" s="10"/>
      <c r="G188" s="10"/>
      <c r="H188" s="10"/>
      <c r="I188" s="10"/>
      <c r="K188" s="10"/>
      <c r="M188" s="10"/>
      <c r="N188" s="10"/>
      <c r="O188" s="10"/>
      <c r="P188" s="10"/>
      <c r="Q188" s="11">
        <f>COUNTIFS(Bumps!$A$6:$A$2005,A188,Bumps!$C$6:$C$2005,"&lt;&gt;",Bumps!$D$6:$D$2005,"&lt;&gt;")</f>
        <v>0</v>
      </c>
      <c r="R188" s="10"/>
      <c r="S188" s="10"/>
    </row>
    <row r="189" spans="1:19" ht="32" customHeight="1">
      <c r="A189" s="8" t="s">
        <v>202</v>
      </c>
      <c r="B189" s="10"/>
      <c r="E189" s="10"/>
      <c r="F189" s="10"/>
      <c r="G189" s="10"/>
      <c r="H189" s="10"/>
      <c r="I189" s="10"/>
      <c r="K189" s="10"/>
      <c r="M189" s="10"/>
      <c r="N189" s="10"/>
      <c r="O189" s="10"/>
      <c r="P189" s="10"/>
      <c r="Q189" s="11">
        <f>COUNTIFS(Bumps!$A$6:$A$2005,A189,Bumps!$C$6:$C$2005,"&lt;&gt;",Bumps!$D$6:$D$2005,"&lt;&gt;")</f>
        <v>0</v>
      </c>
      <c r="R189" s="10"/>
      <c r="S189" s="10"/>
    </row>
    <row r="190" spans="1:19" ht="32" customHeight="1">
      <c r="A190" s="8" t="s">
        <v>203</v>
      </c>
      <c r="B190" s="10"/>
      <c r="E190" s="10"/>
      <c r="F190" s="10"/>
      <c r="G190" s="10"/>
      <c r="H190" s="10"/>
      <c r="I190" s="10"/>
      <c r="K190" s="10"/>
      <c r="M190" s="10"/>
      <c r="N190" s="10"/>
      <c r="O190" s="10"/>
      <c r="P190" s="10"/>
      <c r="Q190" s="11">
        <f>COUNTIFS(Bumps!$A$6:$A$2005,A190,Bumps!$C$6:$C$2005,"&lt;&gt;",Bumps!$D$6:$D$2005,"&lt;&gt;")</f>
        <v>0</v>
      </c>
      <c r="R190" s="10"/>
      <c r="S190" s="10"/>
    </row>
    <row r="191" spans="1:19" ht="32" customHeight="1">
      <c r="A191" s="8" t="s">
        <v>204</v>
      </c>
      <c r="B191" s="10"/>
      <c r="E191" s="10"/>
      <c r="F191" s="10"/>
      <c r="G191" s="10"/>
      <c r="H191" s="10"/>
      <c r="I191" s="10"/>
      <c r="K191" s="10"/>
      <c r="M191" s="10"/>
      <c r="N191" s="10"/>
      <c r="O191" s="10"/>
      <c r="P191" s="10"/>
      <c r="Q191" s="11">
        <f>COUNTIFS(Bumps!$A$6:$A$2005,A191,Bumps!$C$6:$C$2005,"&lt;&gt;",Bumps!$D$6:$D$2005,"&lt;&gt;")</f>
        <v>0</v>
      </c>
      <c r="R191" s="10"/>
      <c r="S191" s="10"/>
    </row>
    <row r="192" spans="1:19" ht="32" customHeight="1">
      <c r="A192" s="8" t="s">
        <v>205</v>
      </c>
      <c r="B192" s="10"/>
      <c r="E192" s="10"/>
      <c r="F192" s="10"/>
      <c r="G192" s="10"/>
      <c r="H192" s="10"/>
      <c r="I192" s="10"/>
      <c r="K192" s="10"/>
      <c r="M192" s="10"/>
      <c r="N192" s="10"/>
      <c r="O192" s="10"/>
      <c r="P192" s="10"/>
      <c r="Q192" s="11">
        <f>COUNTIFS(Bumps!$A$6:$A$2005,A192,Bumps!$C$6:$C$2005,"&lt;&gt;",Bumps!$D$6:$D$2005,"&lt;&gt;")</f>
        <v>0</v>
      </c>
      <c r="R192" s="10"/>
      <c r="S192" s="10"/>
    </row>
    <row r="193" spans="1:19" ht="32" customHeight="1">
      <c r="A193" s="8" t="s">
        <v>206</v>
      </c>
      <c r="B193" s="10"/>
      <c r="E193" s="10"/>
      <c r="F193" s="10"/>
      <c r="G193" s="10"/>
      <c r="H193" s="10"/>
      <c r="I193" s="10"/>
      <c r="K193" s="10"/>
      <c r="M193" s="10"/>
      <c r="N193" s="10"/>
      <c r="O193" s="10"/>
      <c r="P193" s="10"/>
      <c r="Q193" s="11">
        <f>COUNTIFS(Bumps!$A$6:$A$2005,A193,Bumps!$C$6:$C$2005,"&lt;&gt;",Bumps!$D$6:$D$2005,"&lt;&gt;")</f>
        <v>0</v>
      </c>
      <c r="R193" s="10"/>
      <c r="S193" s="10"/>
    </row>
    <row r="194" spans="1:19" ht="32" customHeight="1">
      <c r="A194" s="8" t="s">
        <v>207</v>
      </c>
      <c r="B194" s="10"/>
      <c r="E194" s="10"/>
      <c r="F194" s="10"/>
      <c r="G194" s="10"/>
      <c r="H194" s="10"/>
      <c r="I194" s="10"/>
      <c r="K194" s="10"/>
      <c r="M194" s="10"/>
      <c r="N194" s="10"/>
      <c r="O194" s="10"/>
      <c r="P194" s="10"/>
      <c r="Q194" s="11">
        <f>COUNTIFS(Bumps!$A$6:$A$2005,A194,Bumps!$C$6:$C$2005,"&lt;&gt;",Bumps!$D$6:$D$2005,"&lt;&gt;")</f>
        <v>0</v>
      </c>
      <c r="R194" s="10"/>
      <c r="S194" s="10"/>
    </row>
    <row r="195" spans="1:19" ht="32" customHeight="1">
      <c r="A195" s="8" t="s">
        <v>208</v>
      </c>
      <c r="B195" s="10"/>
      <c r="E195" s="10"/>
      <c r="F195" s="10"/>
      <c r="G195" s="10"/>
      <c r="H195" s="10"/>
      <c r="I195" s="10"/>
      <c r="K195" s="10"/>
      <c r="M195" s="10"/>
      <c r="N195" s="10"/>
      <c r="O195" s="10"/>
      <c r="P195" s="10"/>
      <c r="Q195" s="11">
        <f>COUNTIFS(Bumps!$A$6:$A$2005,A195,Bumps!$C$6:$C$2005,"&lt;&gt;",Bumps!$D$6:$D$2005,"&lt;&gt;")</f>
        <v>0</v>
      </c>
      <c r="R195" s="10"/>
      <c r="S195" s="10"/>
    </row>
    <row r="196" spans="1:19" ht="32" customHeight="1">
      <c r="A196" s="8" t="s">
        <v>209</v>
      </c>
      <c r="B196" s="10"/>
      <c r="E196" s="10"/>
      <c r="F196" s="10"/>
      <c r="G196" s="10"/>
      <c r="H196" s="10"/>
      <c r="I196" s="10"/>
      <c r="K196" s="10"/>
      <c r="M196" s="10"/>
      <c r="N196" s="10"/>
      <c r="O196" s="10"/>
      <c r="P196" s="10"/>
      <c r="Q196" s="11">
        <f>COUNTIFS(Bumps!$A$6:$A$2005,A196,Bumps!$C$6:$C$2005,"&lt;&gt;",Bumps!$D$6:$D$2005,"&lt;&gt;")</f>
        <v>0</v>
      </c>
      <c r="R196" s="10"/>
      <c r="S196" s="10"/>
    </row>
    <row r="197" spans="1:19" ht="32" customHeight="1">
      <c r="A197" s="8" t="s">
        <v>210</v>
      </c>
      <c r="B197" s="10"/>
      <c r="E197" s="10"/>
      <c r="F197" s="10"/>
      <c r="G197" s="10"/>
      <c r="H197" s="10"/>
      <c r="I197" s="10"/>
      <c r="K197" s="10"/>
      <c r="M197" s="10"/>
      <c r="N197" s="10"/>
      <c r="O197" s="10"/>
      <c r="P197" s="10"/>
      <c r="Q197" s="11">
        <f>COUNTIFS(Bumps!$A$6:$A$2005,A197,Bumps!$C$6:$C$2005,"&lt;&gt;",Bumps!$D$6:$D$2005,"&lt;&gt;")</f>
        <v>0</v>
      </c>
      <c r="R197" s="10"/>
      <c r="S197" s="10"/>
    </row>
    <row r="198" spans="1:19" ht="32" customHeight="1">
      <c r="A198" s="8" t="s">
        <v>211</v>
      </c>
      <c r="B198" s="10"/>
      <c r="E198" s="10"/>
      <c r="F198" s="10"/>
      <c r="G198" s="10"/>
      <c r="H198" s="10"/>
      <c r="I198" s="10"/>
      <c r="K198" s="10"/>
      <c r="M198" s="10"/>
      <c r="N198" s="10"/>
      <c r="O198" s="10"/>
      <c r="P198" s="10"/>
      <c r="Q198" s="11">
        <f>COUNTIFS(Bumps!$A$6:$A$2005,A198,Bumps!$C$6:$C$2005,"&lt;&gt;",Bumps!$D$6:$D$2005,"&lt;&gt;")</f>
        <v>0</v>
      </c>
      <c r="R198" s="10"/>
      <c r="S198" s="10"/>
    </row>
    <row r="199" spans="1:19" ht="32" customHeight="1">
      <c r="A199" s="8" t="s">
        <v>212</v>
      </c>
      <c r="B199" s="10"/>
      <c r="E199" s="10"/>
      <c r="F199" s="10"/>
      <c r="G199" s="10"/>
      <c r="H199" s="10"/>
      <c r="I199" s="10"/>
      <c r="K199" s="10"/>
      <c r="M199" s="10"/>
      <c r="N199" s="10"/>
      <c r="O199" s="10"/>
      <c r="P199" s="10"/>
      <c r="Q199" s="11">
        <f>COUNTIFS(Bumps!$A$6:$A$2005,A199,Bumps!$C$6:$C$2005,"&lt;&gt;",Bumps!$D$6:$D$2005,"&lt;&gt;")</f>
        <v>0</v>
      </c>
      <c r="R199" s="10"/>
      <c r="S199" s="10"/>
    </row>
    <row r="200" spans="1:19" ht="32" customHeight="1">
      <c r="A200" s="8" t="s">
        <v>213</v>
      </c>
      <c r="B200" s="10"/>
      <c r="E200" s="10"/>
      <c r="F200" s="10"/>
      <c r="G200" s="10"/>
      <c r="H200" s="10"/>
      <c r="I200" s="10"/>
      <c r="K200" s="10"/>
      <c r="M200" s="10"/>
      <c r="N200" s="10"/>
      <c r="O200" s="10"/>
      <c r="P200" s="10"/>
      <c r="Q200" s="11">
        <f>COUNTIFS(Bumps!$A$6:$A$2005,A200,Bumps!$C$6:$C$2005,"&lt;&gt;",Bumps!$D$6:$D$2005,"&lt;&gt;")</f>
        <v>0</v>
      </c>
      <c r="R200" s="10"/>
      <c r="S200" s="10"/>
    </row>
    <row r="201" spans="1:19" ht="32" customHeight="1">
      <c r="A201" s="8" t="s">
        <v>214</v>
      </c>
      <c r="B201" s="10"/>
      <c r="E201" s="10"/>
      <c r="F201" s="10"/>
      <c r="G201" s="10"/>
      <c r="H201" s="10"/>
      <c r="I201" s="10"/>
      <c r="K201" s="10"/>
      <c r="M201" s="10"/>
      <c r="N201" s="10"/>
      <c r="O201" s="10"/>
      <c r="P201" s="10"/>
      <c r="Q201" s="11">
        <f>COUNTIFS(Bumps!$A$6:$A$2005,A201,Bumps!$C$6:$C$2005,"&lt;&gt;",Bumps!$D$6:$D$2005,"&lt;&gt;")</f>
        <v>0</v>
      </c>
      <c r="R201" s="10"/>
      <c r="S201" s="10"/>
    </row>
    <row r="202" spans="1:19" ht="32" customHeight="1">
      <c r="A202" s="8" t="s">
        <v>215</v>
      </c>
      <c r="B202" s="10"/>
      <c r="E202" s="10"/>
      <c r="F202" s="10"/>
      <c r="G202" s="10"/>
      <c r="H202" s="10"/>
      <c r="I202" s="10"/>
      <c r="K202" s="10"/>
      <c r="M202" s="10"/>
      <c r="N202" s="10"/>
      <c r="O202" s="10"/>
      <c r="P202" s="10"/>
      <c r="Q202" s="11">
        <f>COUNTIFS(Bumps!$A$6:$A$2005,A202,Bumps!$C$6:$C$2005,"&lt;&gt;",Bumps!$D$6:$D$2005,"&lt;&gt;")</f>
        <v>0</v>
      </c>
      <c r="R202" s="10"/>
      <c r="S202" s="10"/>
    </row>
    <row r="203" spans="1:19" ht="32" customHeight="1">
      <c r="A203" s="8" t="s">
        <v>216</v>
      </c>
      <c r="B203" s="10"/>
      <c r="E203" s="10"/>
      <c r="F203" s="10"/>
      <c r="G203" s="10"/>
      <c r="H203" s="10"/>
      <c r="I203" s="10"/>
      <c r="K203" s="10"/>
      <c r="M203" s="10"/>
      <c r="N203" s="10"/>
      <c r="O203" s="10"/>
      <c r="P203" s="10"/>
      <c r="Q203" s="11">
        <f>COUNTIFS(Bumps!$A$6:$A$2005,A203,Bumps!$C$6:$C$2005,"&lt;&gt;",Bumps!$D$6:$D$2005,"&lt;&gt;")</f>
        <v>0</v>
      </c>
      <c r="R203" s="10"/>
      <c r="S203" s="10"/>
    </row>
    <row r="204" spans="1:19" ht="32" customHeight="1">
      <c r="A204" s="8" t="s">
        <v>217</v>
      </c>
      <c r="B204" s="10"/>
      <c r="E204" s="10"/>
      <c r="F204" s="10"/>
      <c r="G204" s="10"/>
      <c r="H204" s="10"/>
      <c r="I204" s="10"/>
      <c r="K204" s="10"/>
      <c r="M204" s="10"/>
      <c r="N204" s="10"/>
      <c r="O204" s="10"/>
      <c r="P204" s="10"/>
      <c r="Q204" s="11">
        <f>COUNTIFS(Bumps!$A$6:$A$2005,A204,Bumps!$C$6:$C$2005,"&lt;&gt;",Bumps!$D$6:$D$2005,"&lt;&gt;")</f>
        <v>0</v>
      </c>
      <c r="R204" s="10"/>
      <c r="S204" s="10"/>
    </row>
    <row r="205" spans="1:19" ht="32" customHeight="1">
      <c r="A205" s="8" t="s">
        <v>218</v>
      </c>
      <c r="B205" s="10"/>
      <c r="E205" s="10"/>
      <c r="F205" s="10"/>
      <c r="G205" s="10"/>
      <c r="H205" s="10"/>
      <c r="I205" s="10"/>
      <c r="K205" s="10"/>
      <c r="M205" s="10"/>
      <c r="N205" s="10"/>
      <c r="O205" s="10"/>
      <c r="P205" s="10"/>
      <c r="Q205" s="11">
        <f>COUNTIFS(Bumps!$A$6:$A$2005,A205,Bumps!$C$6:$C$2005,"&lt;&gt;",Bumps!$D$6:$D$2005,"&lt;&gt;")</f>
        <v>0</v>
      </c>
      <c r="R205" s="10"/>
      <c r="S205" s="10"/>
    </row>
  </sheetData>
  <mergeCells count="2">
    <mergeCell ref="A1:V1"/>
    <mergeCell ref="A2:V3"/>
  </mergeCells>
  <dataValidations count="18">
    <dataValidation type="list" allowBlank="1" showInputMessage="1" showErrorMessage="1" sqref="C6:C205">
      <formula1>"cosine,half_ellipse,Measured profile"</formula1>
    </dataValidation>
    <dataValidation type="list" allowBlank="1" showInputMessage="1" showErrorMessage="1" sqref="D6:D205">
      <formula1>"yes,no"</formula1>
    </dataValidation>
    <dataValidation type="list" allowBlank="1" showInputMessage="1" showErrorMessage="1" sqref="J6:J205">
      <formula1>"yes,no"</formula1>
    </dataValidation>
    <dataValidation type="list" allowBlank="1" showInputMessage="1" showErrorMessage="1" sqref="T6:T205">
      <formula1>"yes,no"</formula1>
    </dataValidation>
    <dataValidation type="list" allowBlank="1" showInputMessage="1" showErrorMessage="1" sqref="U6:U205">
      <formula1>"yes,no"</formula1>
    </dataValidation>
    <dataValidation type="decimal" operator="greaterThan" allowBlank="1" showInputMessage="1" showErrorMessage="1" errorTitle="Check this input" error="Use a numeric value in the units shown." promptTitle="Units matter" prompt="Read the header comment or Field Guide." sqref="B6:B205">
      <formula1>0</formula1>
    </dataValidation>
    <dataValidation type="decimal" operator="greaterThan" allowBlank="1" showInputMessage="1" showErrorMessage="1" errorTitle="Check this input" error="Use a numeric value in the units shown." promptTitle="Units matter" prompt="Read the header comment or Field Guide." sqref="E6:E205">
      <formula1>0</formula1>
    </dataValidation>
    <dataValidation type="decimal" operator="greaterThan" allowBlank="1" showInputMessage="1" showErrorMessage="1" errorTitle="Check this input" error="Use a numeric value in the units shown." promptTitle="Units matter" prompt="Read the header comment or Field Guide." sqref="F6:F205">
      <formula1>0</formula1>
    </dataValidation>
    <dataValidation type="decimal" operator="greaterThan" allowBlank="1" showInputMessage="1" showErrorMessage="1" errorTitle="Check this input" error="Use a numeric value in the units shown." promptTitle="Units matter" prompt="Read the header comment or Field Guide." sqref="G6:G205">
      <formula1>0</formula1>
    </dataValidation>
    <dataValidation type="decimal" operator="greaterThan" allowBlank="1" showInputMessage="1" showErrorMessage="1" errorTitle="Check this input" error="Use a numeric value in the units shown." promptTitle="Units matter" prompt="Read the header comment or Field Guide." sqref="H6:H205">
      <formula1>0</formula1>
    </dataValidation>
    <dataValidation type="decimal" operator="greaterThanOrEqual" allowBlank="1" showInputMessage="1" showErrorMessage="1" errorTitle="Check this input" error="Use a numeric value in the units shown." promptTitle="Units matter" prompt="Read the header comment or Field Guide." sqref="I6:I205">
      <formula1>0</formula1>
    </dataValidation>
    <dataValidation type="decimal" operator="greaterThanOrEqual" allowBlank="1" showInputMessage="1" showErrorMessage="1" errorTitle="Check this input" error="Use a numeric value in the units shown." promptTitle="Units matter" prompt="Read the header comment or Field Guide." sqref="K6:K205">
      <formula1>0</formula1>
    </dataValidation>
    <dataValidation type="decimal" operator="greaterThanOrEqual" allowBlank="1" showInputMessage="1" showErrorMessage="1" errorTitle="Check this input" error="Use a numeric value in the units shown." promptTitle="Units matter" prompt="Read the header comment or Field Guide." sqref="M6:M205">
      <formula1>0</formula1>
    </dataValidation>
    <dataValidation type="decimal" operator="greaterThan" allowBlank="1" showInputMessage="1" showErrorMessage="1" errorTitle="Check this input" error="Use a numeric value in the units shown." promptTitle="Units matter" prompt="Read the header comment or Field Guide." sqref="N6:N205">
      <formula1>0</formula1>
    </dataValidation>
    <dataValidation type="decimal" operator="greaterThanOrEqual" allowBlank="1" showInputMessage="1" showErrorMessage="1" errorTitle="Check this input" error="Use a numeric value in the units shown." promptTitle="Units matter" prompt="Read the header comment or Field Guide." sqref="O6:O205">
      <formula1>0</formula1>
    </dataValidation>
    <dataValidation type="decimal" operator="greaterThan" allowBlank="1" showInputMessage="1" showErrorMessage="1" errorTitle="Check this input" error="Use a numeric value in the units shown." promptTitle="Units matter" prompt="Read the header comment or Field Guide." sqref="P6:P205">
      <formula1>0</formula1>
    </dataValidation>
    <dataValidation type="decimal" operator="greaterThan" allowBlank="1" showInputMessage="1" showErrorMessage="1" errorTitle="Check this input" error="Use a numeric value in the units shown." promptTitle="Units matter" prompt="Read the header comment or Field Guide." sqref="R6:R205">
      <formula1>0</formula1>
    </dataValidation>
    <dataValidation type="decimal" operator="greaterThan" allowBlank="1" showInputMessage="1" showErrorMessage="1" errorTitle="Check this input" error="Use a numeric value in the units shown." promptTitle="Units matter" prompt="Read the header comment or Field Guide." sqref="S6:S205">
      <formula1>0</formula1>
    </dataValidation>
  </dataValidations>
  <pageMargins left="0.7" right="0.7" top="0.75" bottom="0.75" header="0.3" footer="0.3"/>
  <pageSetup paperSize="9"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7F7A"/>
    <pageSetUpPr fitToPage="1"/>
  </sheetPr>
  <dimension ref="A1:G2005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8.7109375" customWidth="1"/>
    <col min="2" max="3" width="20.7109375" customWidth="1"/>
    <col min="4" max="4" width="25.7109375" customWidth="1"/>
    <col min="5" max="5" width="29.7109375" customWidth="1"/>
    <col min="6" max="6" width="65.7109375" customWidth="1"/>
    <col min="7" max="7" width="30.7109375" customWidth="1"/>
  </cols>
  <sheetData>
    <row r="1" spans="1:7" ht="37" customHeight="1">
      <c r="A1" s="1" t="s">
        <v>272</v>
      </c>
      <c r="B1" s="1"/>
      <c r="C1" s="1"/>
      <c r="D1" s="1"/>
      <c r="E1" s="1"/>
      <c r="F1" s="1"/>
      <c r="G1" s="1"/>
    </row>
    <row r="2" spans="1:7" ht="24" customHeight="1">
      <c r="A2" s="2" t="s">
        <v>273</v>
      </c>
      <c r="B2" s="2"/>
      <c r="C2" s="2"/>
      <c r="D2" s="2"/>
      <c r="E2" s="2"/>
      <c r="F2" s="2"/>
      <c r="G2" s="2"/>
    </row>
    <row r="3" spans="1:7" ht="20" customHeight="1">
      <c r="A3" s="2"/>
      <c r="B3" s="2"/>
      <c r="C3" s="2"/>
      <c r="D3" s="2"/>
      <c r="E3" s="2"/>
      <c r="F3" s="2"/>
      <c r="G3" s="2"/>
    </row>
    <row r="5" spans="1:7" ht="48" customHeight="1">
      <c r="A5" s="7" t="s">
        <v>2</v>
      </c>
      <c r="B5" s="7" t="s">
        <v>274</v>
      </c>
      <c r="C5" s="7" t="s">
        <v>275</v>
      </c>
      <c r="D5" s="7" t="s">
        <v>276</v>
      </c>
      <c r="E5" s="7" t="s">
        <v>277</v>
      </c>
      <c r="F5" s="7" t="s">
        <v>278</v>
      </c>
      <c r="G5" s="7" t="s">
        <v>279</v>
      </c>
    </row>
    <row r="6" spans="1:7">
      <c r="A6" s="9" t="s">
        <v>19</v>
      </c>
      <c r="B6" s="10">
        <v>1</v>
      </c>
      <c r="C6" s="10">
        <v>0.2</v>
      </c>
      <c r="D6" s="10">
        <v>0.4</v>
      </c>
      <c r="E6" s="10"/>
      <c r="F6" s="9"/>
      <c r="G6" s="11">
        <f>IF(OR(A6="",B6=""),"",IF(COUNTIFS($A$6:$A$2005,A6,$B$6:$B$2005,B6)&gt;1,"DUPLICATE",""))</f>
        <v/>
      </c>
    </row>
    <row r="7" spans="1:7">
      <c r="A7" s="9"/>
      <c r="B7" s="12"/>
      <c r="C7" s="10"/>
      <c r="D7" s="10"/>
      <c r="E7" s="10"/>
      <c r="F7" s="9"/>
      <c r="G7" s="11">
        <f>IF(OR(A7="",B7=""),"",IF(COUNTIFS($A$6:$A$2005,A7,$B$6:$B$2005,B7)&gt;1,"DUPLICATE",""))</f>
        <v/>
      </c>
    </row>
    <row r="8" spans="1:7">
      <c r="A8" s="9"/>
      <c r="B8" s="12"/>
      <c r="C8" s="10"/>
      <c r="D8" s="10"/>
      <c r="E8" s="10"/>
      <c r="F8" s="9"/>
      <c r="G8" s="11">
        <f>IF(OR(A8="",B8=""),"",IF(COUNTIFS($A$6:$A$2005,A8,$B$6:$B$2005,B8)&gt;1,"DUPLICATE",""))</f>
        <v/>
      </c>
    </row>
    <row r="9" spans="1:7">
      <c r="A9" s="9"/>
      <c r="B9" s="12"/>
      <c r="C9" s="10"/>
      <c r="D9" s="10"/>
      <c r="E9" s="10"/>
      <c r="F9" s="9"/>
      <c r="G9" s="11">
        <f>IF(OR(A9="",B9=""),"",IF(COUNTIFS($A$6:$A$2005,A9,$B$6:$B$2005,B9)&gt;1,"DUPLICATE",""))</f>
        <v/>
      </c>
    </row>
    <row r="10" spans="1:7">
      <c r="A10" s="9"/>
      <c r="B10" s="12"/>
      <c r="C10" s="10"/>
      <c r="D10" s="10"/>
      <c r="E10" s="10"/>
      <c r="F10" s="9"/>
      <c r="G10" s="11">
        <f>IF(OR(A10="",B10=""),"",IF(COUNTIFS($A$6:$A$2005,A10,$B$6:$B$2005,B10)&gt;1,"DUPLICATE",""))</f>
        <v/>
      </c>
    </row>
    <row r="11" spans="1:7">
      <c r="A11" s="9"/>
      <c r="B11" s="12"/>
      <c r="C11" s="10"/>
      <c r="D11" s="10"/>
      <c r="E11" s="10"/>
      <c r="F11" s="9"/>
      <c r="G11" s="11">
        <f>IF(OR(A11="",B11=""),"",IF(COUNTIFS($A$6:$A$2005,A11,$B$6:$B$2005,B11)&gt;1,"DUPLICATE",""))</f>
        <v/>
      </c>
    </row>
    <row r="12" spans="1:7">
      <c r="A12" s="9"/>
      <c r="B12" s="12"/>
      <c r="C12" s="10"/>
      <c r="D12" s="10"/>
      <c r="E12" s="10"/>
      <c r="F12" s="9"/>
      <c r="G12" s="11">
        <f>IF(OR(A12="",B12=""),"",IF(COUNTIFS($A$6:$A$2005,A12,$B$6:$B$2005,B12)&gt;1,"DUPLICATE",""))</f>
        <v/>
      </c>
    </row>
    <row r="13" spans="1:7">
      <c r="A13" s="9"/>
      <c r="B13" s="12"/>
      <c r="C13" s="10"/>
      <c r="D13" s="10"/>
      <c r="E13" s="10"/>
      <c r="F13" s="9"/>
      <c r="G13" s="11">
        <f>IF(OR(A13="",B13=""),"",IF(COUNTIFS($A$6:$A$2005,A13,$B$6:$B$2005,B13)&gt;1,"DUPLICATE",""))</f>
        <v/>
      </c>
    </row>
    <row r="14" spans="1:7">
      <c r="A14" s="9"/>
      <c r="B14" s="12"/>
      <c r="C14" s="10"/>
      <c r="D14" s="10"/>
      <c r="E14" s="10"/>
      <c r="F14" s="9"/>
      <c r="G14" s="11">
        <f>IF(OR(A14="",B14=""),"",IF(COUNTIFS($A$6:$A$2005,A14,$B$6:$B$2005,B14)&gt;1,"DUPLICATE",""))</f>
        <v/>
      </c>
    </row>
    <row r="15" spans="1:7">
      <c r="A15" s="9"/>
      <c r="B15" s="12"/>
      <c r="C15" s="10"/>
      <c r="D15" s="10"/>
      <c r="E15" s="10"/>
      <c r="F15" s="9"/>
      <c r="G15" s="11">
        <f>IF(OR(A15="",B15=""),"",IF(COUNTIFS($A$6:$A$2005,A15,$B$6:$B$2005,B15)&gt;1,"DUPLICATE",""))</f>
        <v/>
      </c>
    </row>
    <row r="16" spans="1:7">
      <c r="A16" s="9"/>
      <c r="B16" s="12"/>
      <c r="C16" s="10"/>
      <c r="D16" s="10"/>
      <c r="E16" s="10"/>
      <c r="F16" s="9"/>
      <c r="G16" s="11">
        <f>IF(OR(A16="",B16=""),"",IF(COUNTIFS($A$6:$A$2005,A16,$B$6:$B$2005,B16)&gt;1,"DUPLICATE",""))</f>
        <v/>
      </c>
    </row>
    <row r="17" spans="1:7">
      <c r="A17" s="9"/>
      <c r="B17" s="12"/>
      <c r="C17" s="10"/>
      <c r="D17" s="10"/>
      <c r="E17" s="10"/>
      <c r="F17" s="9"/>
      <c r="G17" s="11">
        <f>IF(OR(A17="",B17=""),"",IF(COUNTIFS($A$6:$A$2005,A17,$B$6:$B$2005,B17)&gt;1,"DUPLICATE",""))</f>
        <v/>
      </c>
    </row>
    <row r="18" spans="1:7">
      <c r="A18" s="9"/>
      <c r="B18" s="12"/>
      <c r="C18" s="10"/>
      <c r="D18" s="10"/>
      <c r="E18" s="10"/>
      <c r="F18" s="9"/>
      <c r="G18" s="11">
        <f>IF(OR(A18="",B18=""),"",IF(COUNTIFS($A$6:$A$2005,A18,$B$6:$B$2005,B18)&gt;1,"DUPLICATE",""))</f>
        <v/>
      </c>
    </row>
    <row r="19" spans="1:7">
      <c r="A19" s="9"/>
      <c r="B19" s="12"/>
      <c r="C19" s="10"/>
      <c r="D19" s="10"/>
      <c r="E19" s="10"/>
      <c r="F19" s="9"/>
      <c r="G19" s="11">
        <f>IF(OR(A19="",B19=""),"",IF(COUNTIFS($A$6:$A$2005,A19,$B$6:$B$2005,B19)&gt;1,"DUPLICATE",""))</f>
        <v/>
      </c>
    </row>
    <row r="20" spans="1:7">
      <c r="A20" s="9"/>
      <c r="B20" s="12"/>
      <c r="C20" s="10"/>
      <c r="D20" s="10"/>
      <c r="E20" s="10"/>
      <c r="F20" s="9"/>
      <c r="G20" s="11">
        <f>IF(OR(A20="",B20=""),"",IF(COUNTIFS($A$6:$A$2005,A20,$B$6:$B$2005,B20)&gt;1,"DUPLICATE",""))</f>
        <v/>
      </c>
    </row>
    <row r="21" spans="1:7">
      <c r="A21" s="9"/>
      <c r="B21" s="12"/>
      <c r="C21" s="10"/>
      <c r="D21" s="10"/>
      <c r="E21" s="10"/>
      <c r="F21" s="9"/>
      <c r="G21" s="11">
        <f>IF(OR(A21="",B21=""),"",IF(COUNTIFS($A$6:$A$2005,A21,$B$6:$B$2005,B21)&gt;1,"DUPLICATE",""))</f>
        <v/>
      </c>
    </row>
    <row r="22" spans="1:7">
      <c r="A22" s="9"/>
      <c r="B22" s="12"/>
      <c r="C22" s="10"/>
      <c r="D22" s="10"/>
      <c r="E22" s="10"/>
      <c r="F22" s="9"/>
      <c r="G22" s="11">
        <f>IF(OR(A22="",B22=""),"",IF(COUNTIFS($A$6:$A$2005,A22,$B$6:$B$2005,B22)&gt;1,"DUPLICATE",""))</f>
        <v/>
      </c>
    </row>
    <row r="23" spans="1:7">
      <c r="A23" s="9"/>
      <c r="B23" s="12"/>
      <c r="C23" s="10"/>
      <c r="D23" s="10"/>
      <c r="E23" s="10"/>
      <c r="F23" s="9"/>
      <c r="G23" s="11">
        <f>IF(OR(A23="",B23=""),"",IF(COUNTIFS($A$6:$A$2005,A23,$B$6:$B$2005,B23)&gt;1,"DUPLICATE",""))</f>
        <v/>
      </c>
    </row>
    <row r="24" spans="1:7">
      <c r="A24" s="9"/>
      <c r="B24" s="12"/>
      <c r="C24" s="10"/>
      <c r="D24" s="10"/>
      <c r="E24" s="10"/>
      <c r="F24" s="9"/>
      <c r="G24" s="11">
        <f>IF(OR(A24="",B24=""),"",IF(COUNTIFS($A$6:$A$2005,A24,$B$6:$B$2005,B24)&gt;1,"DUPLICATE",""))</f>
        <v/>
      </c>
    </row>
    <row r="25" spans="1:7">
      <c r="A25" s="9"/>
      <c r="B25" s="12"/>
      <c r="C25" s="10"/>
      <c r="D25" s="10"/>
      <c r="E25" s="10"/>
      <c r="F25" s="9"/>
      <c r="G25" s="11">
        <f>IF(OR(A25="",B25=""),"",IF(COUNTIFS($A$6:$A$2005,A25,$B$6:$B$2005,B25)&gt;1,"DUPLICATE",""))</f>
        <v/>
      </c>
    </row>
    <row r="26" spans="1:7">
      <c r="A26" s="9"/>
      <c r="B26" s="12"/>
      <c r="C26" s="10"/>
      <c r="D26" s="10"/>
      <c r="E26" s="10"/>
      <c r="F26" s="9"/>
      <c r="G26" s="11">
        <f>IF(OR(A26="",B26=""),"",IF(COUNTIFS($A$6:$A$2005,A26,$B$6:$B$2005,B26)&gt;1,"DUPLICATE",""))</f>
        <v/>
      </c>
    </row>
    <row r="27" spans="1:7">
      <c r="A27" s="9"/>
      <c r="B27" s="12"/>
      <c r="C27" s="10"/>
      <c r="D27" s="10"/>
      <c r="E27" s="10"/>
      <c r="F27" s="9"/>
      <c r="G27" s="11">
        <f>IF(OR(A27="",B27=""),"",IF(COUNTIFS($A$6:$A$2005,A27,$B$6:$B$2005,B27)&gt;1,"DUPLICATE",""))</f>
        <v/>
      </c>
    </row>
    <row r="28" spans="1:7">
      <c r="A28" s="9"/>
      <c r="B28" s="12"/>
      <c r="C28" s="10"/>
      <c r="D28" s="10"/>
      <c r="E28" s="10"/>
      <c r="F28" s="9"/>
      <c r="G28" s="11">
        <f>IF(OR(A28="",B28=""),"",IF(COUNTIFS($A$6:$A$2005,A28,$B$6:$B$2005,B28)&gt;1,"DUPLICATE",""))</f>
        <v/>
      </c>
    </row>
    <row r="29" spans="1:7">
      <c r="A29" s="9"/>
      <c r="B29" s="12"/>
      <c r="C29" s="10"/>
      <c r="D29" s="10"/>
      <c r="E29" s="10"/>
      <c r="F29" s="9"/>
      <c r="G29" s="11">
        <f>IF(OR(A29="",B29=""),"",IF(COUNTIFS($A$6:$A$2005,A29,$B$6:$B$2005,B29)&gt;1,"DUPLICATE",""))</f>
        <v/>
      </c>
    </row>
    <row r="30" spans="1:7">
      <c r="A30" s="9"/>
      <c r="B30" s="12"/>
      <c r="C30" s="10"/>
      <c r="D30" s="10"/>
      <c r="E30" s="10"/>
      <c r="F30" s="9"/>
      <c r="G30" s="11">
        <f>IF(OR(A30="",B30=""),"",IF(COUNTIFS($A$6:$A$2005,A30,$B$6:$B$2005,B30)&gt;1,"DUPLICATE",""))</f>
        <v/>
      </c>
    </row>
    <row r="31" spans="1:7">
      <c r="A31" s="9"/>
      <c r="B31" s="12"/>
      <c r="C31" s="10"/>
      <c r="D31" s="10"/>
      <c r="E31" s="10"/>
      <c r="F31" s="9"/>
      <c r="G31" s="11">
        <f>IF(OR(A31="",B31=""),"",IF(COUNTIFS($A$6:$A$2005,A31,$B$6:$B$2005,B31)&gt;1,"DUPLICATE",""))</f>
        <v/>
      </c>
    </row>
    <row r="32" spans="1:7">
      <c r="A32" s="9"/>
      <c r="B32" s="12"/>
      <c r="C32" s="10"/>
      <c r="D32" s="10"/>
      <c r="E32" s="10"/>
      <c r="F32" s="9"/>
      <c r="G32" s="11">
        <f>IF(OR(A32="",B32=""),"",IF(COUNTIFS($A$6:$A$2005,A32,$B$6:$B$2005,B32)&gt;1,"DUPLICATE",""))</f>
        <v/>
      </c>
    </row>
    <row r="33" spans="1:7">
      <c r="A33" s="9"/>
      <c r="B33" s="12"/>
      <c r="C33" s="10"/>
      <c r="D33" s="10"/>
      <c r="E33" s="10"/>
      <c r="F33" s="9"/>
      <c r="G33" s="11">
        <f>IF(OR(A33="",B33=""),"",IF(COUNTIFS($A$6:$A$2005,A33,$B$6:$B$2005,B33)&gt;1,"DUPLICATE",""))</f>
        <v/>
      </c>
    </row>
    <row r="34" spans="1:7">
      <c r="A34" s="9"/>
      <c r="B34" s="12"/>
      <c r="C34" s="10"/>
      <c r="D34" s="10"/>
      <c r="E34" s="10"/>
      <c r="F34" s="9"/>
      <c r="G34" s="11">
        <f>IF(OR(A34="",B34=""),"",IF(COUNTIFS($A$6:$A$2005,A34,$B$6:$B$2005,B34)&gt;1,"DUPLICATE",""))</f>
        <v/>
      </c>
    </row>
    <row r="35" spans="1:7">
      <c r="A35" s="9"/>
      <c r="B35" s="12"/>
      <c r="C35" s="10"/>
      <c r="D35" s="10"/>
      <c r="E35" s="10"/>
      <c r="F35" s="9"/>
      <c r="G35" s="11">
        <f>IF(OR(A35="",B35=""),"",IF(COUNTIFS($A$6:$A$2005,A35,$B$6:$B$2005,B35)&gt;1,"DUPLICATE",""))</f>
        <v/>
      </c>
    </row>
    <row r="36" spans="1:7">
      <c r="A36" s="9"/>
      <c r="B36" s="12"/>
      <c r="C36" s="10"/>
      <c r="D36" s="10"/>
      <c r="E36" s="10"/>
      <c r="F36" s="9"/>
      <c r="G36" s="11">
        <f>IF(OR(A36="",B36=""),"",IF(COUNTIFS($A$6:$A$2005,A36,$B$6:$B$2005,B36)&gt;1,"DUPLICATE",""))</f>
        <v/>
      </c>
    </row>
    <row r="37" spans="1:7">
      <c r="A37" s="9"/>
      <c r="B37" s="12"/>
      <c r="C37" s="10"/>
      <c r="D37" s="10"/>
      <c r="E37" s="10"/>
      <c r="F37" s="9"/>
      <c r="G37" s="11">
        <f>IF(OR(A37="",B37=""),"",IF(COUNTIFS($A$6:$A$2005,A37,$B$6:$B$2005,B37)&gt;1,"DUPLICATE",""))</f>
        <v/>
      </c>
    </row>
    <row r="38" spans="1:7">
      <c r="A38" s="9"/>
      <c r="B38" s="12"/>
      <c r="C38" s="10"/>
      <c r="D38" s="10"/>
      <c r="E38" s="10"/>
      <c r="F38" s="9"/>
      <c r="G38" s="11">
        <f>IF(OR(A38="",B38=""),"",IF(COUNTIFS($A$6:$A$2005,A38,$B$6:$B$2005,B38)&gt;1,"DUPLICATE",""))</f>
        <v/>
      </c>
    </row>
    <row r="39" spans="1:7">
      <c r="A39" s="9"/>
      <c r="B39" s="12"/>
      <c r="C39" s="10"/>
      <c r="D39" s="10"/>
      <c r="E39" s="10"/>
      <c r="F39" s="9"/>
      <c r="G39" s="11">
        <f>IF(OR(A39="",B39=""),"",IF(COUNTIFS($A$6:$A$2005,A39,$B$6:$B$2005,B39)&gt;1,"DUPLICATE",""))</f>
        <v/>
      </c>
    </row>
    <row r="40" spans="1:7">
      <c r="A40" s="9"/>
      <c r="B40" s="12"/>
      <c r="C40" s="10"/>
      <c r="D40" s="10"/>
      <c r="E40" s="10"/>
      <c r="F40" s="9"/>
      <c r="G40" s="11">
        <f>IF(OR(A40="",B40=""),"",IF(COUNTIFS($A$6:$A$2005,A40,$B$6:$B$2005,B40)&gt;1,"DUPLICATE",""))</f>
        <v/>
      </c>
    </row>
    <row r="41" spans="1:7">
      <c r="A41" s="9"/>
      <c r="B41" s="12"/>
      <c r="C41" s="10"/>
      <c r="D41" s="10"/>
      <c r="E41" s="10"/>
      <c r="F41" s="9"/>
      <c r="G41" s="11">
        <f>IF(OR(A41="",B41=""),"",IF(COUNTIFS($A$6:$A$2005,A41,$B$6:$B$2005,B41)&gt;1,"DUPLICATE",""))</f>
        <v/>
      </c>
    </row>
    <row r="42" spans="1:7">
      <c r="A42" s="9"/>
      <c r="B42" s="12"/>
      <c r="C42" s="10"/>
      <c r="D42" s="10"/>
      <c r="E42" s="10"/>
      <c r="F42" s="9"/>
      <c r="G42" s="11">
        <f>IF(OR(A42="",B42=""),"",IF(COUNTIFS($A$6:$A$2005,A42,$B$6:$B$2005,B42)&gt;1,"DUPLICATE",""))</f>
        <v/>
      </c>
    </row>
    <row r="43" spans="1:7">
      <c r="A43" s="9"/>
      <c r="B43" s="12"/>
      <c r="C43" s="10"/>
      <c r="D43" s="10"/>
      <c r="E43" s="10"/>
      <c r="F43" s="9"/>
      <c r="G43" s="11">
        <f>IF(OR(A43="",B43=""),"",IF(COUNTIFS($A$6:$A$2005,A43,$B$6:$B$2005,B43)&gt;1,"DUPLICATE",""))</f>
        <v/>
      </c>
    </row>
    <row r="44" spans="1:7">
      <c r="A44" s="9"/>
      <c r="B44" s="12"/>
      <c r="C44" s="10"/>
      <c r="D44" s="10"/>
      <c r="E44" s="10"/>
      <c r="F44" s="9"/>
      <c r="G44" s="11">
        <f>IF(OR(A44="",B44=""),"",IF(COUNTIFS($A$6:$A$2005,A44,$B$6:$B$2005,B44)&gt;1,"DUPLICATE",""))</f>
        <v/>
      </c>
    </row>
    <row r="45" spans="1:7">
      <c r="A45" s="9"/>
      <c r="B45" s="12"/>
      <c r="C45" s="10"/>
      <c r="D45" s="10"/>
      <c r="E45" s="10"/>
      <c r="F45" s="9"/>
      <c r="G45" s="11">
        <f>IF(OR(A45="",B45=""),"",IF(COUNTIFS($A$6:$A$2005,A45,$B$6:$B$2005,B45)&gt;1,"DUPLICATE",""))</f>
        <v/>
      </c>
    </row>
    <row r="46" spans="1:7">
      <c r="A46" s="9"/>
      <c r="B46" s="12"/>
      <c r="C46" s="10"/>
      <c r="D46" s="10"/>
      <c r="E46" s="10"/>
      <c r="F46" s="9"/>
      <c r="G46" s="11">
        <f>IF(OR(A46="",B46=""),"",IF(COUNTIFS($A$6:$A$2005,A46,$B$6:$B$2005,B46)&gt;1,"DUPLICATE",""))</f>
        <v/>
      </c>
    </row>
    <row r="47" spans="1:7">
      <c r="A47" s="9"/>
      <c r="B47" s="12"/>
      <c r="C47" s="10"/>
      <c r="D47" s="10"/>
      <c r="E47" s="10"/>
      <c r="F47" s="9"/>
      <c r="G47" s="11">
        <f>IF(OR(A47="",B47=""),"",IF(COUNTIFS($A$6:$A$2005,A47,$B$6:$B$2005,B47)&gt;1,"DUPLICATE",""))</f>
        <v/>
      </c>
    </row>
    <row r="48" spans="1:7">
      <c r="A48" s="9"/>
      <c r="B48" s="12"/>
      <c r="C48" s="10"/>
      <c r="D48" s="10"/>
      <c r="E48" s="10"/>
      <c r="F48" s="9"/>
      <c r="G48" s="11">
        <f>IF(OR(A48="",B48=""),"",IF(COUNTIFS($A$6:$A$2005,A48,$B$6:$B$2005,B48)&gt;1,"DUPLICATE",""))</f>
        <v/>
      </c>
    </row>
    <row r="49" spans="1:7">
      <c r="A49" s="9"/>
      <c r="B49" s="12"/>
      <c r="C49" s="10"/>
      <c r="D49" s="10"/>
      <c r="E49" s="10"/>
      <c r="F49" s="9"/>
      <c r="G49" s="11">
        <f>IF(OR(A49="",B49=""),"",IF(COUNTIFS($A$6:$A$2005,A49,$B$6:$B$2005,B49)&gt;1,"DUPLICATE",""))</f>
        <v/>
      </c>
    </row>
    <row r="50" spans="1:7">
      <c r="A50" s="9"/>
      <c r="B50" s="12"/>
      <c r="C50" s="10"/>
      <c r="D50" s="10"/>
      <c r="E50" s="10"/>
      <c r="F50" s="9"/>
      <c r="G50" s="11">
        <f>IF(OR(A50="",B50=""),"",IF(COUNTIFS($A$6:$A$2005,A50,$B$6:$B$2005,B50)&gt;1,"DUPLICATE",""))</f>
        <v/>
      </c>
    </row>
    <row r="51" spans="1:7">
      <c r="A51" s="9"/>
      <c r="B51" s="12"/>
      <c r="C51" s="10"/>
      <c r="D51" s="10"/>
      <c r="E51" s="10"/>
      <c r="F51" s="9"/>
      <c r="G51" s="11">
        <f>IF(OR(A51="",B51=""),"",IF(COUNTIFS($A$6:$A$2005,A51,$B$6:$B$2005,B51)&gt;1,"DUPLICATE",""))</f>
        <v/>
      </c>
    </row>
    <row r="52" spans="1:7">
      <c r="A52" s="9"/>
      <c r="B52" s="12"/>
      <c r="C52" s="10"/>
      <c r="D52" s="10"/>
      <c r="E52" s="10"/>
      <c r="F52" s="9"/>
      <c r="G52" s="11">
        <f>IF(OR(A52="",B52=""),"",IF(COUNTIFS($A$6:$A$2005,A52,$B$6:$B$2005,B52)&gt;1,"DUPLICATE",""))</f>
        <v/>
      </c>
    </row>
    <row r="53" spans="1:7">
      <c r="A53" s="9"/>
      <c r="B53" s="12"/>
      <c r="C53" s="10"/>
      <c r="D53" s="10"/>
      <c r="E53" s="10"/>
      <c r="F53" s="9"/>
      <c r="G53" s="11">
        <f>IF(OR(A53="",B53=""),"",IF(COUNTIFS($A$6:$A$2005,A53,$B$6:$B$2005,B53)&gt;1,"DUPLICATE",""))</f>
        <v/>
      </c>
    </row>
    <row r="54" spans="1:7">
      <c r="A54" s="9"/>
      <c r="B54" s="12"/>
      <c r="C54" s="10"/>
      <c r="D54" s="10"/>
      <c r="E54" s="10"/>
      <c r="F54" s="9"/>
      <c r="G54" s="11">
        <f>IF(OR(A54="",B54=""),"",IF(COUNTIFS($A$6:$A$2005,A54,$B$6:$B$2005,B54)&gt;1,"DUPLICATE",""))</f>
        <v/>
      </c>
    </row>
    <row r="55" spans="1:7">
      <c r="A55" s="9"/>
      <c r="B55" s="12"/>
      <c r="C55" s="10"/>
      <c r="D55" s="10"/>
      <c r="E55" s="10"/>
      <c r="F55" s="9"/>
      <c r="G55" s="11">
        <f>IF(OR(A55="",B55=""),"",IF(COUNTIFS($A$6:$A$2005,A55,$B$6:$B$2005,B55)&gt;1,"DUPLICATE",""))</f>
        <v/>
      </c>
    </row>
    <row r="56" spans="1:7">
      <c r="A56" s="9"/>
      <c r="B56" s="12"/>
      <c r="C56" s="10"/>
      <c r="D56" s="10"/>
      <c r="E56" s="10"/>
      <c r="F56" s="9"/>
      <c r="G56" s="11">
        <f>IF(OR(A56="",B56=""),"",IF(COUNTIFS($A$6:$A$2005,A56,$B$6:$B$2005,B56)&gt;1,"DUPLICATE",""))</f>
        <v/>
      </c>
    </row>
    <row r="57" spans="1:7">
      <c r="A57" s="9"/>
      <c r="B57" s="12"/>
      <c r="C57" s="10"/>
      <c r="D57" s="10"/>
      <c r="E57" s="10"/>
      <c r="F57" s="9"/>
      <c r="G57" s="11">
        <f>IF(OR(A57="",B57=""),"",IF(COUNTIFS($A$6:$A$2005,A57,$B$6:$B$2005,B57)&gt;1,"DUPLICATE",""))</f>
        <v/>
      </c>
    </row>
    <row r="58" spans="1:7">
      <c r="A58" s="9"/>
      <c r="B58" s="12"/>
      <c r="C58" s="10"/>
      <c r="D58" s="10"/>
      <c r="E58" s="10"/>
      <c r="F58" s="9"/>
      <c r="G58" s="11">
        <f>IF(OR(A58="",B58=""),"",IF(COUNTIFS($A$6:$A$2005,A58,$B$6:$B$2005,B58)&gt;1,"DUPLICATE",""))</f>
        <v/>
      </c>
    </row>
    <row r="59" spans="1:7">
      <c r="A59" s="9"/>
      <c r="B59" s="12"/>
      <c r="C59" s="10"/>
      <c r="D59" s="10"/>
      <c r="E59" s="10"/>
      <c r="F59" s="9"/>
      <c r="G59" s="11">
        <f>IF(OR(A59="",B59=""),"",IF(COUNTIFS($A$6:$A$2005,A59,$B$6:$B$2005,B59)&gt;1,"DUPLICATE",""))</f>
        <v/>
      </c>
    </row>
    <row r="60" spans="1:7">
      <c r="A60" s="9"/>
      <c r="B60" s="12"/>
      <c r="C60" s="10"/>
      <c r="D60" s="10"/>
      <c r="E60" s="10"/>
      <c r="F60" s="9"/>
      <c r="G60" s="11">
        <f>IF(OR(A60="",B60=""),"",IF(COUNTIFS($A$6:$A$2005,A60,$B$6:$B$2005,B60)&gt;1,"DUPLICATE",""))</f>
        <v/>
      </c>
    </row>
    <row r="61" spans="1:7">
      <c r="A61" s="9"/>
      <c r="B61" s="12"/>
      <c r="C61" s="10"/>
      <c r="D61" s="10"/>
      <c r="E61" s="10"/>
      <c r="F61" s="9"/>
      <c r="G61" s="11">
        <f>IF(OR(A61="",B61=""),"",IF(COUNTIFS($A$6:$A$2005,A61,$B$6:$B$2005,B61)&gt;1,"DUPLICATE",""))</f>
        <v/>
      </c>
    </row>
    <row r="62" spans="1:7">
      <c r="A62" s="9"/>
      <c r="B62" s="12"/>
      <c r="C62" s="10"/>
      <c r="D62" s="10"/>
      <c r="E62" s="10"/>
      <c r="F62" s="9"/>
      <c r="G62" s="11">
        <f>IF(OR(A62="",B62=""),"",IF(COUNTIFS($A$6:$A$2005,A62,$B$6:$B$2005,B62)&gt;1,"DUPLICATE",""))</f>
        <v/>
      </c>
    </row>
    <row r="63" spans="1:7">
      <c r="A63" s="9"/>
      <c r="B63" s="12"/>
      <c r="C63" s="10"/>
      <c r="D63" s="10"/>
      <c r="E63" s="10"/>
      <c r="F63" s="9"/>
      <c r="G63" s="11">
        <f>IF(OR(A63="",B63=""),"",IF(COUNTIFS($A$6:$A$2005,A63,$B$6:$B$2005,B63)&gt;1,"DUPLICATE",""))</f>
        <v/>
      </c>
    </row>
    <row r="64" spans="1:7">
      <c r="A64" s="9"/>
      <c r="B64" s="12"/>
      <c r="C64" s="10"/>
      <c r="D64" s="10"/>
      <c r="E64" s="10"/>
      <c r="F64" s="9"/>
      <c r="G64" s="11">
        <f>IF(OR(A64="",B64=""),"",IF(COUNTIFS($A$6:$A$2005,A64,$B$6:$B$2005,B64)&gt;1,"DUPLICATE",""))</f>
        <v/>
      </c>
    </row>
    <row r="65" spans="1:7">
      <c r="A65" s="9"/>
      <c r="B65" s="12"/>
      <c r="C65" s="10"/>
      <c r="D65" s="10"/>
      <c r="E65" s="10"/>
      <c r="F65" s="9"/>
      <c r="G65" s="11">
        <f>IF(OR(A65="",B65=""),"",IF(COUNTIFS($A$6:$A$2005,A65,$B$6:$B$2005,B65)&gt;1,"DUPLICATE",""))</f>
        <v/>
      </c>
    </row>
    <row r="66" spans="1:7">
      <c r="A66" s="9"/>
      <c r="B66" s="12"/>
      <c r="C66" s="10"/>
      <c r="D66" s="10"/>
      <c r="E66" s="10"/>
      <c r="F66" s="9"/>
      <c r="G66" s="11">
        <f>IF(OR(A66="",B66=""),"",IF(COUNTIFS($A$6:$A$2005,A66,$B$6:$B$2005,B66)&gt;1,"DUPLICATE",""))</f>
        <v/>
      </c>
    </row>
    <row r="67" spans="1:7">
      <c r="A67" s="9"/>
      <c r="B67" s="12"/>
      <c r="C67" s="10"/>
      <c r="D67" s="10"/>
      <c r="E67" s="10"/>
      <c r="F67" s="9"/>
      <c r="G67" s="11">
        <f>IF(OR(A67="",B67=""),"",IF(COUNTIFS($A$6:$A$2005,A67,$B$6:$B$2005,B67)&gt;1,"DUPLICATE",""))</f>
        <v/>
      </c>
    </row>
    <row r="68" spans="1:7">
      <c r="A68" s="9"/>
      <c r="B68" s="12"/>
      <c r="C68" s="10"/>
      <c r="D68" s="10"/>
      <c r="E68" s="10"/>
      <c r="F68" s="9"/>
      <c r="G68" s="11">
        <f>IF(OR(A68="",B68=""),"",IF(COUNTIFS($A$6:$A$2005,A68,$B$6:$B$2005,B68)&gt;1,"DUPLICATE",""))</f>
        <v/>
      </c>
    </row>
    <row r="69" spans="1:7">
      <c r="A69" s="9"/>
      <c r="B69" s="12"/>
      <c r="C69" s="10"/>
      <c r="D69" s="10"/>
      <c r="E69" s="10"/>
      <c r="F69" s="9"/>
      <c r="G69" s="11">
        <f>IF(OR(A69="",B69=""),"",IF(COUNTIFS($A$6:$A$2005,A69,$B$6:$B$2005,B69)&gt;1,"DUPLICATE",""))</f>
        <v/>
      </c>
    </row>
    <row r="70" spans="1:7">
      <c r="A70" s="9"/>
      <c r="B70" s="12"/>
      <c r="C70" s="10"/>
      <c r="D70" s="10"/>
      <c r="E70" s="10"/>
      <c r="F70" s="9"/>
      <c r="G70" s="11">
        <f>IF(OR(A70="",B70=""),"",IF(COUNTIFS($A$6:$A$2005,A70,$B$6:$B$2005,B70)&gt;1,"DUPLICATE",""))</f>
        <v/>
      </c>
    </row>
    <row r="71" spans="1:7">
      <c r="A71" s="9"/>
      <c r="B71" s="12"/>
      <c r="C71" s="10"/>
      <c r="D71" s="10"/>
      <c r="E71" s="10"/>
      <c r="F71" s="9"/>
      <c r="G71" s="11">
        <f>IF(OR(A71="",B71=""),"",IF(COUNTIFS($A$6:$A$2005,A71,$B$6:$B$2005,B71)&gt;1,"DUPLICATE",""))</f>
        <v/>
      </c>
    </row>
    <row r="72" spans="1:7">
      <c r="A72" s="9"/>
      <c r="B72" s="12"/>
      <c r="C72" s="10"/>
      <c r="D72" s="10"/>
      <c r="E72" s="10"/>
      <c r="F72" s="9"/>
      <c r="G72" s="11">
        <f>IF(OR(A72="",B72=""),"",IF(COUNTIFS($A$6:$A$2005,A72,$B$6:$B$2005,B72)&gt;1,"DUPLICATE",""))</f>
        <v/>
      </c>
    </row>
    <row r="73" spans="1:7">
      <c r="A73" s="9"/>
      <c r="B73" s="12"/>
      <c r="C73" s="10"/>
      <c r="D73" s="10"/>
      <c r="E73" s="10"/>
      <c r="F73" s="9"/>
      <c r="G73" s="11">
        <f>IF(OR(A73="",B73=""),"",IF(COUNTIFS($A$6:$A$2005,A73,$B$6:$B$2005,B73)&gt;1,"DUPLICATE",""))</f>
        <v/>
      </c>
    </row>
    <row r="74" spans="1:7">
      <c r="A74" s="9"/>
      <c r="B74" s="12"/>
      <c r="C74" s="10"/>
      <c r="D74" s="10"/>
      <c r="E74" s="10"/>
      <c r="F74" s="9"/>
      <c r="G74" s="11">
        <f>IF(OR(A74="",B74=""),"",IF(COUNTIFS($A$6:$A$2005,A74,$B$6:$B$2005,B74)&gt;1,"DUPLICATE",""))</f>
        <v/>
      </c>
    </row>
    <row r="75" spans="1:7">
      <c r="A75" s="9"/>
      <c r="B75" s="12"/>
      <c r="C75" s="10"/>
      <c r="D75" s="10"/>
      <c r="E75" s="10"/>
      <c r="F75" s="9"/>
      <c r="G75" s="11">
        <f>IF(OR(A75="",B75=""),"",IF(COUNTIFS($A$6:$A$2005,A75,$B$6:$B$2005,B75)&gt;1,"DUPLICATE",""))</f>
        <v/>
      </c>
    </row>
    <row r="76" spans="1:7">
      <c r="A76" s="9"/>
      <c r="B76" s="12"/>
      <c r="C76" s="10"/>
      <c r="D76" s="10"/>
      <c r="E76" s="10"/>
      <c r="F76" s="9"/>
      <c r="G76" s="11">
        <f>IF(OR(A76="",B76=""),"",IF(COUNTIFS($A$6:$A$2005,A76,$B$6:$B$2005,B76)&gt;1,"DUPLICATE",""))</f>
        <v/>
      </c>
    </row>
    <row r="77" spans="1:7">
      <c r="A77" s="9"/>
      <c r="B77" s="12"/>
      <c r="C77" s="10"/>
      <c r="D77" s="10"/>
      <c r="E77" s="10"/>
      <c r="F77" s="9"/>
      <c r="G77" s="11">
        <f>IF(OR(A77="",B77=""),"",IF(COUNTIFS($A$6:$A$2005,A77,$B$6:$B$2005,B77)&gt;1,"DUPLICATE",""))</f>
        <v/>
      </c>
    </row>
    <row r="78" spans="1:7">
      <c r="A78" s="9"/>
      <c r="B78" s="12"/>
      <c r="C78" s="10"/>
      <c r="D78" s="10"/>
      <c r="E78" s="10"/>
      <c r="F78" s="9"/>
      <c r="G78" s="11">
        <f>IF(OR(A78="",B78=""),"",IF(COUNTIFS($A$6:$A$2005,A78,$B$6:$B$2005,B78)&gt;1,"DUPLICATE",""))</f>
        <v/>
      </c>
    </row>
    <row r="79" spans="1:7">
      <c r="A79" s="9"/>
      <c r="B79" s="12"/>
      <c r="C79" s="10"/>
      <c r="D79" s="10"/>
      <c r="E79" s="10"/>
      <c r="F79" s="9"/>
      <c r="G79" s="11">
        <f>IF(OR(A79="",B79=""),"",IF(COUNTIFS($A$6:$A$2005,A79,$B$6:$B$2005,B79)&gt;1,"DUPLICATE",""))</f>
        <v/>
      </c>
    </row>
    <row r="80" spans="1:7">
      <c r="A80" s="9"/>
      <c r="B80" s="12"/>
      <c r="C80" s="10"/>
      <c r="D80" s="10"/>
      <c r="E80" s="10"/>
      <c r="F80" s="9"/>
      <c r="G80" s="11">
        <f>IF(OR(A80="",B80=""),"",IF(COUNTIFS($A$6:$A$2005,A80,$B$6:$B$2005,B80)&gt;1,"DUPLICATE",""))</f>
        <v/>
      </c>
    </row>
    <row r="81" spans="1:7">
      <c r="A81" s="9"/>
      <c r="B81" s="12"/>
      <c r="C81" s="10"/>
      <c r="D81" s="10"/>
      <c r="E81" s="10"/>
      <c r="F81" s="9"/>
      <c r="G81" s="11">
        <f>IF(OR(A81="",B81=""),"",IF(COUNTIFS($A$6:$A$2005,A81,$B$6:$B$2005,B81)&gt;1,"DUPLICATE",""))</f>
        <v/>
      </c>
    </row>
    <row r="82" spans="1:7">
      <c r="A82" s="9"/>
      <c r="B82" s="12"/>
      <c r="C82" s="10"/>
      <c r="D82" s="10"/>
      <c r="E82" s="10"/>
      <c r="F82" s="9"/>
      <c r="G82" s="11">
        <f>IF(OR(A82="",B82=""),"",IF(COUNTIFS($A$6:$A$2005,A82,$B$6:$B$2005,B82)&gt;1,"DUPLICATE",""))</f>
        <v/>
      </c>
    </row>
    <row r="83" spans="1:7">
      <c r="A83" s="9"/>
      <c r="B83" s="12"/>
      <c r="C83" s="10"/>
      <c r="D83" s="10"/>
      <c r="E83" s="10"/>
      <c r="F83" s="9"/>
      <c r="G83" s="11">
        <f>IF(OR(A83="",B83=""),"",IF(COUNTIFS($A$6:$A$2005,A83,$B$6:$B$2005,B83)&gt;1,"DUPLICATE",""))</f>
        <v/>
      </c>
    </row>
    <row r="84" spans="1:7">
      <c r="A84" s="9"/>
      <c r="B84" s="12"/>
      <c r="C84" s="10"/>
      <c r="D84" s="10"/>
      <c r="E84" s="10"/>
      <c r="F84" s="9"/>
      <c r="G84" s="11">
        <f>IF(OR(A84="",B84=""),"",IF(COUNTIFS($A$6:$A$2005,A84,$B$6:$B$2005,B84)&gt;1,"DUPLICATE",""))</f>
        <v/>
      </c>
    </row>
    <row r="85" spans="1:7">
      <c r="A85" s="9"/>
      <c r="B85" s="12"/>
      <c r="C85" s="10"/>
      <c r="D85" s="10"/>
      <c r="E85" s="10"/>
      <c r="F85" s="9"/>
      <c r="G85" s="11">
        <f>IF(OR(A85="",B85=""),"",IF(COUNTIFS($A$6:$A$2005,A85,$B$6:$B$2005,B85)&gt;1,"DUPLICATE",""))</f>
        <v/>
      </c>
    </row>
    <row r="86" spans="1:7">
      <c r="A86" s="9"/>
      <c r="B86" s="12"/>
      <c r="C86" s="10"/>
      <c r="D86" s="10"/>
      <c r="E86" s="10"/>
      <c r="F86" s="9"/>
      <c r="G86" s="11">
        <f>IF(OR(A86="",B86=""),"",IF(COUNTIFS($A$6:$A$2005,A86,$B$6:$B$2005,B86)&gt;1,"DUPLICATE",""))</f>
        <v/>
      </c>
    </row>
    <row r="87" spans="1:7">
      <c r="A87" s="9"/>
      <c r="B87" s="12"/>
      <c r="C87" s="10"/>
      <c r="D87" s="10"/>
      <c r="E87" s="10"/>
      <c r="F87" s="9"/>
      <c r="G87" s="11">
        <f>IF(OR(A87="",B87=""),"",IF(COUNTIFS($A$6:$A$2005,A87,$B$6:$B$2005,B87)&gt;1,"DUPLICATE",""))</f>
        <v/>
      </c>
    </row>
    <row r="88" spans="1:7">
      <c r="A88" s="9"/>
      <c r="B88" s="12"/>
      <c r="C88" s="10"/>
      <c r="D88" s="10"/>
      <c r="E88" s="10"/>
      <c r="F88" s="9"/>
      <c r="G88" s="11">
        <f>IF(OR(A88="",B88=""),"",IF(COUNTIFS($A$6:$A$2005,A88,$B$6:$B$2005,B88)&gt;1,"DUPLICATE",""))</f>
        <v/>
      </c>
    </row>
    <row r="89" spans="1:7">
      <c r="A89" s="9"/>
      <c r="B89" s="12"/>
      <c r="C89" s="10"/>
      <c r="D89" s="10"/>
      <c r="E89" s="10"/>
      <c r="F89" s="9"/>
      <c r="G89" s="11">
        <f>IF(OR(A89="",B89=""),"",IF(COUNTIFS($A$6:$A$2005,A89,$B$6:$B$2005,B89)&gt;1,"DUPLICATE",""))</f>
        <v/>
      </c>
    </row>
    <row r="90" spans="1:7">
      <c r="A90" s="9"/>
      <c r="B90" s="12"/>
      <c r="C90" s="10"/>
      <c r="D90" s="10"/>
      <c r="E90" s="10"/>
      <c r="F90" s="9"/>
      <c r="G90" s="11">
        <f>IF(OR(A90="",B90=""),"",IF(COUNTIFS($A$6:$A$2005,A90,$B$6:$B$2005,B90)&gt;1,"DUPLICATE",""))</f>
        <v/>
      </c>
    </row>
    <row r="91" spans="1:7">
      <c r="A91" s="9"/>
      <c r="B91" s="12"/>
      <c r="C91" s="10"/>
      <c r="D91" s="10"/>
      <c r="E91" s="10"/>
      <c r="F91" s="9"/>
      <c r="G91" s="11">
        <f>IF(OR(A91="",B91=""),"",IF(COUNTIFS($A$6:$A$2005,A91,$B$6:$B$2005,B91)&gt;1,"DUPLICATE",""))</f>
        <v/>
      </c>
    </row>
    <row r="92" spans="1:7">
      <c r="A92" s="9"/>
      <c r="B92" s="12"/>
      <c r="C92" s="10"/>
      <c r="D92" s="10"/>
      <c r="E92" s="10"/>
      <c r="F92" s="9"/>
      <c r="G92" s="11">
        <f>IF(OR(A92="",B92=""),"",IF(COUNTIFS($A$6:$A$2005,A92,$B$6:$B$2005,B92)&gt;1,"DUPLICATE",""))</f>
        <v/>
      </c>
    </row>
    <row r="93" spans="1:7">
      <c r="A93" s="9"/>
      <c r="B93" s="12"/>
      <c r="C93" s="10"/>
      <c r="D93" s="10"/>
      <c r="E93" s="10"/>
      <c r="F93" s="9"/>
      <c r="G93" s="11">
        <f>IF(OR(A93="",B93=""),"",IF(COUNTIFS($A$6:$A$2005,A93,$B$6:$B$2005,B93)&gt;1,"DUPLICATE",""))</f>
        <v/>
      </c>
    </row>
    <row r="94" spans="1:7">
      <c r="A94" s="9"/>
      <c r="B94" s="12"/>
      <c r="C94" s="10"/>
      <c r="D94" s="10"/>
      <c r="E94" s="10"/>
      <c r="F94" s="9"/>
      <c r="G94" s="11">
        <f>IF(OR(A94="",B94=""),"",IF(COUNTIFS($A$6:$A$2005,A94,$B$6:$B$2005,B94)&gt;1,"DUPLICATE",""))</f>
        <v/>
      </c>
    </row>
    <row r="95" spans="1:7">
      <c r="A95" s="9"/>
      <c r="B95" s="12"/>
      <c r="C95" s="10"/>
      <c r="D95" s="10"/>
      <c r="E95" s="10"/>
      <c r="F95" s="9"/>
      <c r="G95" s="11">
        <f>IF(OR(A95="",B95=""),"",IF(COUNTIFS($A$6:$A$2005,A95,$B$6:$B$2005,B95)&gt;1,"DUPLICATE",""))</f>
        <v/>
      </c>
    </row>
    <row r="96" spans="1:7">
      <c r="A96" s="9"/>
      <c r="B96" s="12"/>
      <c r="C96" s="10"/>
      <c r="D96" s="10"/>
      <c r="E96" s="10"/>
      <c r="F96" s="9"/>
      <c r="G96" s="11">
        <f>IF(OR(A96="",B96=""),"",IF(COUNTIFS($A$6:$A$2005,A96,$B$6:$B$2005,B96)&gt;1,"DUPLICATE",""))</f>
        <v/>
      </c>
    </row>
    <row r="97" spans="1:7">
      <c r="A97" s="9"/>
      <c r="B97" s="12"/>
      <c r="C97" s="10"/>
      <c r="D97" s="10"/>
      <c r="E97" s="10"/>
      <c r="F97" s="9"/>
      <c r="G97" s="11">
        <f>IF(OR(A97="",B97=""),"",IF(COUNTIFS($A$6:$A$2005,A97,$B$6:$B$2005,B97)&gt;1,"DUPLICATE",""))</f>
        <v/>
      </c>
    </row>
    <row r="98" spans="1:7">
      <c r="A98" s="9"/>
      <c r="B98" s="12"/>
      <c r="C98" s="10"/>
      <c r="D98" s="10"/>
      <c r="E98" s="10"/>
      <c r="F98" s="9"/>
      <c r="G98" s="11">
        <f>IF(OR(A98="",B98=""),"",IF(COUNTIFS($A$6:$A$2005,A98,$B$6:$B$2005,B98)&gt;1,"DUPLICATE",""))</f>
        <v/>
      </c>
    </row>
    <row r="99" spans="1:7">
      <c r="A99" s="9"/>
      <c r="B99" s="12"/>
      <c r="C99" s="10"/>
      <c r="D99" s="10"/>
      <c r="E99" s="10"/>
      <c r="F99" s="9"/>
      <c r="G99" s="11">
        <f>IF(OR(A99="",B99=""),"",IF(COUNTIFS($A$6:$A$2005,A99,$B$6:$B$2005,B99)&gt;1,"DUPLICATE",""))</f>
        <v/>
      </c>
    </row>
    <row r="100" spans="1:7">
      <c r="A100" s="9"/>
      <c r="B100" s="12"/>
      <c r="C100" s="10"/>
      <c r="D100" s="10"/>
      <c r="E100" s="10"/>
      <c r="F100" s="9"/>
      <c r="G100" s="11">
        <f>IF(OR(A100="",B100=""),"",IF(COUNTIFS($A$6:$A$2005,A100,$B$6:$B$2005,B100)&gt;1,"DUPLICATE",""))</f>
        <v/>
      </c>
    </row>
    <row r="101" spans="1:7">
      <c r="A101" s="9"/>
      <c r="B101" s="12"/>
      <c r="C101" s="10"/>
      <c r="D101" s="10"/>
      <c r="E101" s="10"/>
      <c r="F101" s="9"/>
      <c r="G101" s="11">
        <f>IF(OR(A101="",B101=""),"",IF(COUNTIFS($A$6:$A$2005,A101,$B$6:$B$2005,B101)&gt;1,"DUPLICATE",""))</f>
        <v/>
      </c>
    </row>
    <row r="102" spans="1:7">
      <c r="A102" s="9"/>
      <c r="B102" s="12"/>
      <c r="C102" s="10"/>
      <c r="D102" s="10"/>
      <c r="E102" s="10"/>
      <c r="F102" s="9"/>
      <c r="G102" s="11">
        <f>IF(OR(A102="",B102=""),"",IF(COUNTIFS($A$6:$A$2005,A102,$B$6:$B$2005,B102)&gt;1,"DUPLICATE",""))</f>
        <v/>
      </c>
    </row>
    <row r="103" spans="1:7">
      <c r="A103" s="9"/>
      <c r="B103" s="12"/>
      <c r="C103" s="10"/>
      <c r="D103" s="10"/>
      <c r="E103" s="10"/>
      <c r="F103" s="9"/>
      <c r="G103" s="11">
        <f>IF(OR(A103="",B103=""),"",IF(COUNTIFS($A$6:$A$2005,A103,$B$6:$B$2005,B103)&gt;1,"DUPLICATE",""))</f>
        <v/>
      </c>
    </row>
    <row r="104" spans="1:7">
      <c r="A104" s="9"/>
      <c r="B104" s="12"/>
      <c r="C104" s="10"/>
      <c r="D104" s="10"/>
      <c r="E104" s="10"/>
      <c r="F104" s="9"/>
      <c r="G104" s="11">
        <f>IF(OR(A104="",B104=""),"",IF(COUNTIFS($A$6:$A$2005,A104,$B$6:$B$2005,B104)&gt;1,"DUPLICATE",""))</f>
        <v/>
      </c>
    </row>
    <row r="105" spans="1:7">
      <c r="A105" s="9"/>
      <c r="B105" s="12"/>
      <c r="C105" s="10"/>
      <c r="D105" s="10"/>
      <c r="E105" s="10"/>
      <c r="F105" s="9"/>
      <c r="G105" s="11">
        <f>IF(OR(A105="",B105=""),"",IF(COUNTIFS($A$6:$A$2005,A105,$B$6:$B$2005,B105)&gt;1,"DUPLICATE",""))</f>
        <v/>
      </c>
    </row>
    <row r="106" spans="1:7">
      <c r="A106" s="9"/>
      <c r="B106" s="12"/>
      <c r="C106" s="10"/>
      <c r="D106" s="10"/>
      <c r="E106" s="10"/>
      <c r="F106" s="9"/>
      <c r="G106" s="11">
        <f>IF(OR(A106="",B106=""),"",IF(COUNTIFS($A$6:$A$2005,A106,$B$6:$B$2005,B106)&gt;1,"DUPLICATE",""))</f>
        <v/>
      </c>
    </row>
    <row r="107" spans="1:7">
      <c r="A107" s="9"/>
      <c r="B107" s="12"/>
      <c r="C107" s="10"/>
      <c r="D107" s="10"/>
      <c r="E107" s="10"/>
      <c r="F107" s="9"/>
      <c r="G107" s="11">
        <f>IF(OR(A107="",B107=""),"",IF(COUNTIFS($A$6:$A$2005,A107,$B$6:$B$2005,B107)&gt;1,"DUPLICATE",""))</f>
        <v/>
      </c>
    </row>
    <row r="108" spans="1:7">
      <c r="A108" s="9"/>
      <c r="B108" s="12"/>
      <c r="C108" s="10"/>
      <c r="D108" s="10"/>
      <c r="E108" s="10"/>
      <c r="F108" s="9"/>
      <c r="G108" s="11">
        <f>IF(OR(A108="",B108=""),"",IF(COUNTIFS($A$6:$A$2005,A108,$B$6:$B$2005,B108)&gt;1,"DUPLICATE",""))</f>
        <v/>
      </c>
    </row>
    <row r="109" spans="1:7">
      <c r="A109" s="9"/>
      <c r="B109" s="12"/>
      <c r="C109" s="10"/>
      <c r="D109" s="10"/>
      <c r="E109" s="10"/>
      <c r="F109" s="9"/>
      <c r="G109" s="11">
        <f>IF(OR(A109="",B109=""),"",IF(COUNTIFS($A$6:$A$2005,A109,$B$6:$B$2005,B109)&gt;1,"DUPLICATE",""))</f>
        <v/>
      </c>
    </row>
    <row r="110" spans="1:7">
      <c r="A110" s="9"/>
      <c r="B110" s="12"/>
      <c r="C110" s="10"/>
      <c r="D110" s="10"/>
      <c r="E110" s="10"/>
      <c r="F110" s="9"/>
      <c r="G110" s="11">
        <f>IF(OR(A110="",B110=""),"",IF(COUNTIFS($A$6:$A$2005,A110,$B$6:$B$2005,B110)&gt;1,"DUPLICATE",""))</f>
        <v/>
      </c>
    </row>
    <row r="111" spans="1:7">
      <c r="A111" s="9"/>
      <c r="B111" s="12"/>
      <c r="C111" s="10"/>
      <c r="D111" s="10"/>
      <c r="E111" s="10"/>
      <c r="F111" s="9"/>
      <c r="G111" s="11">
        <f>IF(OR(A111="",B111=""),"",IF(COUNTIFS($A$6:$A$2005,A111,$B$6:$B$2005,B111)&gt;1,"DUPLICATE",""))</f>
        <v/>
      </c>
    </row>
    <row r="112" spans="1:7">
      <c r="A112" s="9"/>
      <c r="B112" s="12"/>
      <c r="C112" s="10"/>
      <c r="D112" s="10"/>
      <c r="E112" s="10"/>
      <c r="F112" s="9"/>
      <c r="G112" s="11">
        <f>IF(OR(A112="",B112=""),"",IF(COUNTIFS($A$6:$A$2005,A112,$B$6:$B$2005,B112)&gt;1,"DUPLICATE",""))</f>
        <v/>
      </c>
    </row>
    <row r="113" spans="1:7">
      <c r="A113" s="9"/>
      <c r="B113" s="12"/>
      <c r="C113" s="10"/>
      <c r="D113" s="10"/>
      <c r="E113" s="10"/>
      <c r="F113" s="9"/>
      <c r="G113" s="11">
        <f>IF(OR(A113="",B113=""),"",IF(COUNTIFS($A$6:$A$2005,A113,$B$6:$B$2005,B113)&gt;1,"DUPLICATE",""))</f>
        <v/>
      </c>
    </row>
    <row r="114" spans="1:7">
      <c r="A114" s="9"/>
      <c r="B114" s="12"/>
      <c r="C114" s="10"/>
      <c r="D114" s="10"/>
      <c r="E114" s="10"/>
      <c r="F114" s="9"/>
      <c r="G114" s="11">
        <f>IF(OR(A114="",B114=""),"",IF(COUNTIFS($A$6:$A$2005,A114,$B$6:$B$2005,B114)&gt;1,"DUPLICATE",""))</f>
        <v/>
      </c>
    </row>
    <row r="115" spans="1:7">
      <c r="A115" s="9"/>
      <c r="B115" s="12"/>
      <c r="C115" s="10"/>
      <c r="D115" s="10"/>
      <c r="E115" s="10"/>
      <c r="F115" s="9"/>
      <c r="G115" s="11">
        <f>IF(OR(A115="",B115=""),"",IF(COUNTIFS($A$6:$A$2005,A115,$B$6:$B$2005,B115)&gt;1,"DUPLICATE",""))</f>
        <v/>
      </c>
    </row>
    <row r="116" spans="1:7">
      <c r="A116" s="9"/>
      <c r="B116" s="12"/>
      <c r="C116" s="10"/>
      <c r="D116" s="10"/>
      <c r="E116" s="10"/>
      <c r="F116" s="9"/>
      <c r="G116" s="11">
        <f>IF(OR(A116="",B116=""),"",IF(COUNTIFS($A$6:$A$2005,A116,$B$6:$B$2005,B116)&gt;1,"DUPLICATE",""))</f>
        <v/>
      </c>
    </row>
    <row r="117" spans="1:7">
      <c r="A117" s="9"/>
      <c r="B117" s="12"/>
      <c r="C117" s="10"/>
      <c r="D117" s="10"/>
      <c r="E117" s="10"/>
      <c r="F117" s="9"/>
      <c r="G117" s="11">
        <f>IF(OR(A117="",B117=""),"",IF(COUNTIFS($A$6:$A$2005,A117,$B$6:$B$2005,B117)&gt;1,"DUPLICATE",""))</f>
        <v/>
      </c>
    </row>
    <row r="118" spans="1:7">
      <c r="A118" s="9"/>
      <c r="B118" s="12"/>
      <c r="C118" s="10"/>
      <c r="D118" s="10"/>
      <c r="E118" s="10"/>
      <c r="F118" s="9"/>
      <c r="G118" s="11">
        <f>IF(OR(A118="",B118=""),"",IF(COUNTIFS($A$6:$A$2005,A118,$B$6:$B$2005,B118)&gt;1,"DUPLICATE",""))</f>
        <v/>
      </c>
    </row>
    <row r="119" spans="1:7">
      <c r="A119" s="9"/>
      <c r="B119" s="12"/>
      <c r="C119" s="10"/>
      <c r="D119" s="10"/>
      <c r="E119" s="10"/>
      <c r="F119" s="9"/>
      <c r="G119" s="11">
        <f>IF(OR(A119="",B119=""),"",IF(COUNTIFS($A$6:$A$2005,A119,$B$6:$B$2005,B119)&gt;1,"DUPLICATE",""))</f>
        <v/>
      </c>
    </row>
    <row r="120" spans="1:7">
      <c r="A120" s="9"/>
      <c r="B120" s="12"/>
      <c r="C120" s="10"/>
      <c r="D120" s="10"/>
      <c r="E120" s="10"/>
      <c r="F120" s="9"/>
      <c r="G120" s="11">
        <f>IF(OR(A120="",B120=""),"",IF(COUNTIFS($A$6:$A$2005,A120,$B$6:$B$2005,B120)&gt;1,"DUPLICATE",""))</f>
        <v/>
      </c>
    </row>
    <row r="121" spans="1:7">
      <c r="A121" s="9"/>
      <c r="B121" s="12"/>
      <c r="C121" s="10"/>
      <c r="D121" s="10"/>
      <c r="E121" s="10"/>
      <c r="F121" s="9"/>
      <c r="G121" s="11">
        <f>IF(OR(A121="",B121=""),"",IF(COUNTIFS($A$6:$A$2005,A121,$B$6:$B$2005,B121)&gt;1,"DUPLICATE",""))</f>
        <v/>
      </c>
    </row>
    <row r="122" spans="1:7">
      <c r="A122" s="9"/>
      <c r="B122" s="12"/>
      <c r="C122" s="10"/>
      <c r="D122" s="10"/>
      <c r="E122" s="10"/>
      <c r="F122" s="9"/>
      <c r="G122" s="11">
        <f>IF(OR(A122="",B122=""),"",IF(COUNTIFS($A$6:$A$2005,A122,$B$6:$B$2005,B122)&gt;1,"DUPLICATE",""))</f>
        <v/>
      </c>
    </row>
    <row r="123" spans="1:7">
      <c r="A123" s="9"/>
      <c r="B123" s="12"/>
      <c r="C123" s="10"/>
      <c r="D123" s="10"/>
      <c r="E123" s="10"/>
      <c r="F123" s="9"/>
      <c r="G123" s="11">
        <f>IF(OR(A123="",B123=""),"",IF(COUNTIFS($A$6:$A$2005,A123,$B$6:$B$2005,B123)&gt;1,"DUPLICATE",""))</f>
        <v/>
      </c>
    </row>
    <row r="124" spans="1:7">
      <c r="A124" s="9"/>
      <c r="B124" s="12"/>
      <c r="C124" s="10"/>
      <c r="D124" s="10"/>
      <c r="E124" s="10"/>
      <c r="F124" s="9"/>
      <c r="G124" s="11">
        <f>IF(OR(A124="",B124=""),"",IF(COUNTIFS($A$6:$A$2005,A124,$B$6:$B$2005,B124)&gt;1,"DUPLICATE",""))</f>
        <v/>
      </c>
    </row>
    <row r="125" spans="1:7">
      <c r="A125" s="9"/>
      <c r="B125" s="12"/>
      <c r="C125" s="10"/>
      <c r="D125" s="10"/>
      <c r="E125" s="10"/>
      <c r="F125" s="9"/>
      <c r="G125" s="11">
        <f>IF(OR(A125="",B125=""),"",IF(COUNTIFS($A$6:$A$2005,A125,$B$6:$B$2005,B125)&gt;1,"DUPLICATE",""))</f>
        <v/>
      </c>
    </row>
    <row r="126" spans="1:7">
      <c r="A126" s="9"/>
      <c r="B126" s="12"/>
      <c r="C126" s="10"/>
      <c r="D126" s="10"/>
      <c r="E126" s="10"/>
      <c r="F126" s="9"/>
      <c r="G126" s="11">
        <f>IF(OR(A126="",B126=""),"",IF(COUNTIFS($A$6:$A$2005,A126,$B$6:$B$2005,B126)&gt;1,"DUPLICATE",""))</f>
        <v/>
      </c>
    </row>
    <row r="127" spans="1:7">
      <c r="A127" s="9"/>
      <c r="B127" s="12"/>
      <c r="C127" s="10"/>
      <c r="D127" s="10"/>
      <c r="E127" s="10"/>
      <c r="F127" s="9"/>
      <c r="G127" s="11">
        <f>IF(OR(A127="",B127=""),"",IF(COUNTIFS($A$6:$A$2005,A127,$B$6:$B$2005,B127)&gt;1,"DUPLICATE",""))</f>
        <v/>
      </c>
    </row>
    <row r="128" spans="1:7">
      <c r="A128" s="9"/>
      <c r="B128" s="12"/>
      <c r="C128" s="10"/>
      <c r="D128" s="10"/>
      <c r="E128" s="10"/>
      <c r="F128" s="9"/>
      <c r="G128" s="11">
        <f>IF(OR(A128="",B128=""),"",IF(COUNTIFS($A$6:$A$2005,A128,$B$6:$B$2005,B128)&gt;1,"DUPLICATE",""))</f>
        <v/>
      </c>
    </row>
    <row r="129" spans="1:7">
      <c r="A129" s="9"/>
      <c r="B129" s="12"/>
      <c r="C129" s="10"/>
      <c r="D129" s="10"/>
      <c r="E129" s="10"/>
      <c r="F129" s="9"/>
      <c r="G129" s="11">
        <f>IF(OR(A129="",B129=""),"",IF(COUNTIFS($A$6:$A$2005,A129,$B$6:$B$2005,B129)&gt;1,"DUPLICATE",""))</f>
        <v/>
      </c>
    </row>
    <row r="130" spans="1:7">
      <c r="A130" s="9"/>
      <c r="B130" s="12"/>
      <c r="C130" s="10"/>
      <c r="D130" s="10"/>
      <c r="E130" s="10"/>
      <c r="F130" s="9"/>
      <c r="G130" s="11">
        <f>IF(OR(A130="",B130=""),"",IF(COUNTIFS($A$6:$A$2005,A130,$B$6:$B$2005,B130)&gt;1,"DUPLICATE",""))</f>
        <v/>
      </c>
    </row>
    <row r="131" spans="1:7">
      <c r="A131" s="9"/>
      <c r="B131" s="12"/>
      <c r="C131" s="10"/>
      <c r="D131" s="10"/>
      <c r="E131" s="10"/>
      <c r="F131" s="9"/>
      <c r="G131" s="11">
        <f>IF(OR(A131="",B131=""),"",IF(COUNTIFS($A$6:$A$2005,A131,$B$6:$B$2005,B131)&gt;1,"DUPLICATE",""))</f>
        <v/>
      </c>
    </row>
    <row r="132" spans="1:7">
      <c r="A132" s="9"/>
      <c r="B132" s="12"/>
      <c r="C132" s="10"/>
      <c r="D132" s="10"/>
      <c r="E132" s="10"/>
      <c r="F132" s="9"/>
      <c r="G132" s="11">
        <f>IF(OR(A132="",B132=""),"",IF(COUNTIFS($A$6:$A$2005,A132,$B$6:$B$2005,B132)&gt;1,"DUPLICATE",""))</f>
        <v/>
      </c>
    </row>
    <row r="133" spans="1:7">
      <c r="A133" s="9"/>
      <c r="B133" s="12"/>
      <c r="C133" s="10"/>
      <c r="D133" s="10"/>
      <c r="E133" s="10"/>
      <c r="F133" s="9"/>
      <c r="G133" s="11">
        <f>IF(OR(A133="",B133=""),"",IF(COUNTIFS($A$6:$A$2005,A133,$B$6:$B$2005,B133)&gt;1,"DUPLICATE",""))</f>
        <v/>
      </c>
    </row>
    <row r="134" spans="1:7">
      <c r="A134" s="9"/>
      <c r="B134" s="12"/>
      <c r="C134" s="10"/>
      <c r="D134" s="10"/>
      <c r="E134" s="10"/>
      <c r="F134" s="9"/>
      <c r="G134" s="11">
        <f>IF(OR(A134="",B134=""),"",IF(COUNTIFS($A$6:$A$2005,A134,$B$6:$B$2005,B134)&gt;1,"DUPLICATE",""))</f>
        <v/>
      </c>
    </row>
    <row r="135" spans="1:7">
      <c r="A135" s="9"/>
      <c r="B135" s="12"/>
      <c r="C135" s="10"/>
      <c r="D135" s="10"/>
      <c r="E135" s="10"/>
      <c r="F135" s="9"/>
      <c r="G135" s="11">
        <f>IF(OR(A135="",B135=""),"",IF(COUNTIFS($A$6:$A$2005,A135,$B$6:$B$2005,B135)&gt;1,"DUPLICATE",""))</f>
        <v/>
      </c>
    </row>
    <row r="136" spans="1:7">
      <c r="A136" s="9"/>
      <c r="B136" s="12"/>
      <c r="C136" s="10"/>
      <c r="D136" s="10"/>
      <c r="E136" s="10"/>
      <c r="F136" s="9"/>
      <c r="G136" s="11">
        <f>IF(OR(A136="",B136=""),"",IF(COUNTIFS($A$6:$A$2005,A136,$B$6:$B$2005,B136)&gt;1,"DUPLICATE",""))</f>
        <v/>
      </c>
    </row>
    <row r="137" spans="1:7">
      <c r="A137" s="9"/>
      <c r="B137" s="12"/>
      <c r="C137" s="10"/>
      <c r="D137" s="10"/>
      <c r="E137" s="10"/>
      <c r="F137" s="9"/>
      <c r="G137" s="11">
        <f>IF(OR(A137="",B137=""),"",IF(COUNTIFS($A$6:$A$2005,A137,$B$6:$B$2005,B137)&gt;1,"DUPLICATE",""))</f>
        <v/>
      </c>
    </row>
    <row r="138" spans="1:7">
      <c r="A138" s="9"/>
      <c r="B138" s="12"/>
      <c r="C138" s="10"/>
      <c r="D138" s="10"/>
      <c r="E138" s="10"/>
      <c r="F138" s="9"/>
      <c r="G138" s="11">
        <f>IF(OR(A138="",B138=""),"",IF(COUNTIFS($A$6:$A$2005,A138,$B$6:$B$2005,B138)&gt;1,"DUPLICATE",""))</f>
        <v/>
      </c>
    </row>
    <row r="139" spans="1:7">
      <c r="A139" s="9"/>
      <c r="B139" s="12"/>
      <c r="C139" s="10"/>
      <c r="D139" s="10"/>
      <c r="E139" s="10"/>
      <c r="F139" s="9"/>
      <c r="G139" s="11">
        <f>IF(OR(A139="",B139=""),"",IF(COUNTIFS($A$6:$A$2005,A139,$B$6:$B$2005,B139)&gt;1,"DUPLICATE",""))</f>
        <v/>
      </c>
    </row>
    <row r="140" spans="1:7">
      <c r="A140" s="9"/>
      <c r="B140" s="12"/>
      <c r="C140" s="10"/>
      <c r="D140" s="10"/>
      <c r="E140" s="10"/>
      <c r="F140" s="9"/>
      <c r="G140" s="11">
        <f>IF(OR(A140="",B140=""),"",IF(COUNTIFS($A$6:$A$2005,A140,$B$6:$B$2005,B140)&gt;1,"DUPLICATE",""))</f>
        <v/>
      </c>
    </row>
    <row r="141" spans="1:7">
      <c r="A141" s="9"/>
      <c r="B141" s="12"/>
      <c r="C141" s="10"/>
      <c r="D141" s="10"/>
      <c r="E141" s="10"/>
      <c r="F141" s="9"/>
      <c r="G141" s="11">
        <f>IF(OR(A141="",B141=""),"",IF(COUNTIFS($A$6:$A$2005,A141,$B$6:$B$2005,B141)&gt;1,"DUPLICATE",""))</f>
        <v/>
      </c>
    </row>
    <row r="142" spans="1:7">
      <c r="A142" s="9"/>
      <c r="B142" s="12"/>
      <c r="C142" s="10"/>
      <c r="D142" s="10"/>
      <c r="E142" s="10"/>
      <c r="F142" s="9"/>
      <c r="G142" s="11">
        <f>IF(OR(A142="",B142=""),"",IF(COUNTIFS($A$6:$A$2005,A142,$B$6:$B$2005,B142)&gt;1,"DUPLICATE",""))</f>
        <v/>
      </c>
    </row>
    <row r="143" spans="1:7">
      <c r="A143" s="9"/>
      <c r="B143" s="12"/>
      <c r="C143" s="10"/>
      <c r="D143" s="10"/>
      <c r="E143" s="10"/>
      <c r="F143" s="9"/>
      <c r="G143" s="11">
        <f>IF(OR(A143="",B143=""),"",IF(COUNTIFS($A$6:$A$2005,A143,$B$6:$B$2005,B143)&gt;1,"DUPLICATE",""))</f>
        <v/>
      </c>
    </row>
    <row r="144" spans="1:7">
      <c r="A144" s="9"/>
      <c r="B144" s="12"/>
      <c r="C144" s="10"/>
      <c r="D144" s="10"/>
      <c r="E144" s="10"/>
      <c r="F144" s="9"/>
      <c r="G144" s="11">
        <f>IF(OR(A144="",B144=""),"",IF(COUNTIFS($A$6:$A$2005,A144,$B$6:$B$2005,B144)&gt;1,"DUPLICATE",""))</f>
        <v/>
      </c>
    </row>
    <row r="145" spans="1:7">
      <c r="A145" s="9"/>
      <c r="B145" s="12"/>
      <c r="C145" s="10"/>
      <c r="D145" s="10"/>
      <c r="E145" s="10"/>
      <c r="F145" s="9"/>
      <c r="G145" s="11">
        <f>IF(OR(A145="",B145=""),"",IF(COUNTIFS($A$6:$A$2005,A145,$B$6:$B$2005,B145)&gt;1,"DUPLICATE",""))</f>
        <v/>
      </c>
    </row>
    <row r="146" spans="1:7">
      <c r="A146" s="9"/>
      <c r="B146" s="12"/>
      <c r="C146" s="10"/>
      <c r="D146" s="10"/>
      <c r="E146" s="10"/>
      <c r="F146" s="9"/>
      <c r="G146" s="11">
        <f>IF(OR(A146="",B146=""),"",IF(COUNTIFS($A$6:$A$2005,A146,$B$6:$B$2005,B146)&gt;1,"DUPLICATE",""))</f>
        <v/>
      </c>
    </row>
    <row r="147" spans="1:7">
      <c r="A147" s="9"/>
      <c r="B147" s="12"/>
      <c r="C147" s="10"/>
      <c r="D147" s="10"/>
      <c r="E147" s="10"/>
      <c r="F147" s="9"/>
      <c r="G147" s="11">
        <f>IF(OR(A147="",B147=""),"",IF(COUNTIFS($A$6:$A$2005,A147,$B$6:$B$2005,B147)&gt;1,"DUPLICATE",""))</f>
        <v/>
      </c>
    </row>
    <row r="148" spans="1:7">
      <c r="A148" s="9"/>
      <c r="B148" s="12"/>
      <c r="C148" s="10"/>
      <c r="D148" s="10"/>
      <c r="E148" s="10"/>
      <c r="F148" s="9"/>
      <c r="G148" s="11">
        <f>IF(OR(A148="",B148=""),"",IF(COUNTIFS($A$6:$A$2005,A148,$B$6:$B$2005,B148)&gt;1,"DUPLICATE",""))</f>
        <v/>
      </c>
    </row>
    <row r="149" spans="1:7">
      <c r="A149" s="9"/>
      <c r="B149" s="12"/>
      <c r="C149" s="10"/>
      <c r="D149" s="10"/>
      <c r="E149" s="10"/>
      <c r="F149" s="9"/>
      <c r="G149" s="11">
        <f>IF(OR(A149="",B149=""),"",IF(COUNTIFS($A$6:$A$2005,A149,$B$6:$B$2005,B149)&gt;1,"DUPLICATE",""))</f>
        <v/>
      </c>
    </row>
    <row r="150" spans="1:7">
      <c r="A150" s="9"/>
      <c r="B150" s="12"/>
      <c r="C150" s="10"/>
      <c r="D150" s="10"/>
      <c r="E150" s="10"/>
      <c r="F150" s="9"/>
      <c r="G150" s="11">
        <f>IF(OR(A150="",B150=""),"",IF(COUNTIFS($A$6:$A$2005,A150,$B$6:$B$2005,B150)&gt;1,"DUPLICATE",""))</f>
        <v/>
      </c>
    </row>
    <row r="151" spans="1:7">
      <c r="A151" s="9"/>
      <c r="B151" s="12"/>
      <c r="C151" s="10"/>
      <c r="D151" s="10"/>
      <c r="E151" s="10"/>
      <c r="F151" s="9"/>
      <c r="G151" s="11">
        <f>IF(OR(A151="",B151=""),"",IF(COUNTIFS($A$6:$A$2005,A151,$B$6:$B$2005,B151)&gt;1,"DUPLICATE",""))</f>
        <v/>
      </c>
    </row>
    <row r="152" spans="1:7">
      <c r="A152" s="9"/>
      <c r="B152" s="12"/>
      <c r="C152" s="10"/>
      <c r="D152" s="10"/>
      <c r="E152" s="10"/>
      <c r="F152" s="9"/>
      <c r="G152" s="11">
        <f>IF(OR(A152="",B152=""),"",IF(COUNTIFS($A$6:$A$2005,A152,$B$6:$B$2005,B152)&gt;1,"DUPLICATE",""))</f>
        <v/>
      </c>
    </row>
    <row r="153" spans="1:7">
      <c r="A153" s="9"/>
      <c r="B153" s="12"/>
      <c r="C153" s="10"/>
      <c r="D153" s="10"/>
      <c r="E153" s="10"/>
      <c r="F153" s="9"/>
      <c r="G153" s="11">
        <f>IF(OR(A153="",B153=""),"",IF(COUNTIFS($A$6:$A$2005,A153,$B$6:$B$2005,B153)&gt;1,"DUPLICATE",""))</f>
        <v/>
      </c>
    </row>
    <row r="154" spans="1:7">
      <c r="A154" s="9"/>
      <c r="B154" s="12"/>
      <c r="C154" s="10"/>
      <c r="D154" s="10"/>
      <c r="E154" s="10"/>
      <c r="F154" s="9"/>
      <c r="G154" s="11">
        <f>IF(OR(A154="",B154=""),"",IF(COUNTIFS($A$6:$A$2005,A154,$B$6:$B$2005,B154)&gt;1,"DUPLICATE",""))</f>
        <v/>
      </c>
    </row>
    <row r="155" spans="1:7">
      <c r="A155" s="9"/>
      <c r="B155" s="12"/>
      <c r="C155" s="10"/>
      <c r="D155" s="10"/>
      <c r="E155" s="10"/>
      <c r="F155" s="9"/>
      <c r="G155" s="11">
        <f>IF(OR(A155="",B155=""),"",IF(COUNTIFS($A$6:$A$2005,A155,$B$6:$B$2005,B155)&gt;1,"DUPLICATE",""))</f>
        <v/>
      </c>
    </row>
    <row r="156" spans="1:7">
      <c r="A156" s="9"/>
      <c r="B156" s="12"/>
      <c r="C156" s="10"/>
      <c r="D156" s="10"/>
      <c r="E156" s="10"/>
      <c r="F156" s="9"/>
      <c r="G156" s="11">
        <f>IF(OR(A156="",B156=""),"",IF(COUNTIFS($A$6:$A$2005,A156,$B$6:$B$2005,B156)&gt;1,"DUPLICATE",""))</f>
        <v/>
      </c>
    </row>
    <row r="157" spans="1:7">
      <c r="A157" s="9"/>
      <c r="B157" s="12"/>
      <c r="C157" s="10"/>
      <c r="D157" s="10"/>
      <c r="E157" s="10"/>
      <c r="F157" s="9"/>
      <c r="G157" s="11">
        <f>IF(OR(A157="",B157=""),"",IF(COUNTIFS($A$6:$A$2005,A157,$B$6:$B$2005,B157)&gt;1,"DUPLICATE",""))</f>
        <v/>
      </c>
    </row>
    <row r="158" spans="1:7">
      <c r="A158" s="9"/>
      <c r="B158" s="12"/>
      <c r="C158" s="10"/>
      <c r="D158" s="10"/>
      <c r="E158" s="10"/>
      <c r="F158" s="9"/>
      <c r="G158" s="11">
        <f>IF(OR(A158="",B158=""),"",IF(COUNTIFS($A$6:$A$2005,A158,$B$6:$B$2005,B158)&gt;1,"DUPLICATE",""))</f>
        <v/>
      </c>
    </row>
    <row r="159" spans="1:7">
      <c r="A159" s="9"/>
      <c r="B159" s="12"/>
      <c r="C159" s="10"/>
      <c r="D159" s="10"/>
      <c r="E159" s="10"/>
      <c r="F159" s="9"/>
      <c r="G159" s="11">
        <f>IF(OR(A159="",B159=""),"",IF(COUNTIFS($A$6:$A$2005,A159,$B$6:$B$2005,B159)&gt;1,"DUPLICATE",""))</f>
        <v/>
      </c>
    </row>
    <row r="160" spans="1:7">
      <c r="A160" s="9"/>
      <c r="B160" s="12"/>
      <c r="C160" s="10"/>
      <c r="D160" s="10"/>
      <c r="E160" s="10"/>
      <c r="F160" s="9"/>
      <c r="G160" s="11">
        <f>IF(OR(A160="",B160=""),"",IF(COUNTIFS($A$6:$A$2005,A160,$B$6:$B$2005,B160)&gt;1,"DUPLICATE",""))</f>
        <v/>
      </c>
    </row>
    <row r="161" spans="1:7">
      <c r="A161" s="9"/>
      <c r="B161" s="12"/>
      <c r="C161" s="10"/>
      <c r="D161" s="10"/>
      <c r="E161" s="10"/>
      <c r="F161" s="9"/>
      <c r="G161" s="11">
        <f>IF(OR(A161="",B161=""),"",IF(COUNTIFS($A$6:$A$2005,A161,$B$6:$B$2005,B161)&gt;1,"DUPLICATE",""))</f>
        <v/>
      </c>
    </row>
    <row r="162" spans="1:7">
      <c r="A162" s="9"/>
      <c r="B162" s="12"/>
      <c r="C162" s="10"/>
      <c r="D162" s="10"/>
      <c r="E162" s="10"/>
      <c r="F162" s="9"/>
      <c r="G162" s="11">
        <f>IF(OR(A162="",B162=""),"",IF(COUNTIFS($A$6:$A$2005,A162,$B$6:$B$2005,B162)&gt;1,"DUPLICATE",""))</f>
        <v/>
      </c>
    </row>
    <row r="163" spans="1:7">
      <c r="A163" s="9"/>
      <c r="B163" s="12"/>
      <c r="C163" s="10"/>
      <c r="D163" s="10"/>
      <c r="E163" s="10"/>
      <c r="F163" s="9"/>
      <c r="G163" s="11">
        <f>IF(OR(A163="",B163=""),"",IF(COUNTIFS($A$6:$A$2005,A163,$B$6:$B$2005,B163)&gt;1,"DUPLICATE",""))</f>
        <v/>
      </c>
    </row>
    <row r="164" spans="1:7">
      <c r="A164" s="9"/>
      <c r="B164" s="12"/>
      <c r="C164" s="10"/>
      <c r="D164" s="10"/>
      <c r="E164" s="10"/>
      <c r="F164" s="9"/>
      <c r="G164" s="11">
        <f>IF(OR(A164="",B164=""),"",IF(COUNTIFS($A$6:$A$2005,A164,$B$6:$B$2005,B164)&gt;1,"DUPLICATE",""))</f>
        <v/>
      </c>
    </row>
    <row r="165" spans="1:7">
      <c r="A165" s="9"/>
      <c r="B165" s="12"/>
      <c r="C165" s="10"/>
      <c r="D165" s="10"/>
      <c r="E165" s="10"/>
      <c r="F165" s="9"/>
      <c r="G165" s="11">
        <f>IF(OR(A165="",B165=""),"",IF(COUNTIFS($A$6:$A$2005,A165,$B$6:$B$2005,B165)&gt;1,"DUPLICATE",""))</f>
        <v/>
      </c>
    </row>
    <row r="166" spans="1:7">
      <c r="A166" s="9"/>
      <c r="B166" s="12"/>
      <c r="C166" s="10"/>
      <c r="D166" s="10"/>
      <c r="E166" s="10"/>
      <c r="F166" s="9"/>
      <c r="G166" s="11">
        <f>IF(OR(A166="",B166=""),"",IF(COUNTIFS($A$6:$A$2005,A166,$B$6:$B$2005,B166)&gt;1,"DUPLICATE",""))</f>
        <v/>
      </c>
    </row>
    <row r="167" spans="1:7">
      <c r="A167" s="9"/>
      <c r="B167" s="12"/>
      <c r="C167" s="10"/>
      <c r="D167" s="10"/>
      <c r="E167" s="10"/>
      <c r="F167" s="9"/>
      <c r="G167" s="11">
        <f>IF(OR(A167="",B167=""),"",IF(COUNTIFS($A$6:$A$2005,A167,$B$6:$B$2005,B167)&gt;1,"DUPLICATE",""))</f>
        <v/>
      </c>
    </row>
    <row r="168" spans="1:7">
      <c r="A168" s="9"/>
      <c r="B168" s="12"/>
      <c r="C168" s="10"/>
      <c r="D168" s="10"/>
      <c r="E168" s="10"/>
      <c r="F168" s="9"/>
      <c r="G168" s="11">
        <f>IF(OR(A168="",B168=""),"",IF(COUNTIFS($A$6:$A$2005,A168,$B$6:$B$2005,B168)&gt;1,"DUPLICATE",""))</f>
        <v/>
      </c>
    </row>
    <row r="169" spans="1:7">
      <c r="A169" s="9"/>
      <c r="B169" s="12"/>
      <c r="C169" s="10"/>
      <c r="D169" s="10"/>
      <c r="E169" s="10"/>
      <c r="F169" s="9"/>
      <c r="G169" s="11">
        <f>IF(OR(A169="",B169=""),"",IF(COUNTIFS($A$6:$A$2005,A169,$B$6:$B$2005,B169)&gt;1,"DUPLICATE",""))</f>
        <v/>
      </c>
    </row>
    <row r="170" spans="1:7">
      <c r="A170" s="9"/>
      <c r="B170" s="12"/>
      <c r="C170" s="10"/>
      <c r="D170" s="10"/>
      <c r="E170" s="10"/>
      <c r="F170" s="9"/>
      <c r="G170" s="11">
        <f>IF(OR(A170="",B170=""),"",IF(COUNTIFS($A$6:$A$2005,A170,$B$6:$B$2005,B170)&gt;1,"DUPLICATE",""))</f>
        <v/>
      </c>
    </row>
    <row r="171" spans="1:7">
      <c r="A171" s="9"/>
      <c r="B171" s="12"/>
      <c r="C171" s="10"/>
      <c r="D171" s="10"/>
      <c r="E171" s="10"/>
      <c r="F171" s="9"/>
      <c r="G171" s="11">
        <f>IF(OR(A171="",B171=""),"",IF(COUNTIFS($A$6:$A$2005,A171,$B$6:$B$2005,B171)&gt;1,"DUPLICATE",""))</f>
        <v/>
      </c>
    </row>
    <row r="172" spans="1:7">
      <c r="A172" s="9"/>
      <c r="B172" s="12"/>
      <c r="C172" s="10"/>
      <c r="D172" s="10"/>
      <c r="E172" s="10"/>
      <c r="F172" s="9"/>
      <c r="G172" s="11">
        <f>IF(OR(A172="",B172=""),"",IF(COUNTIFS($A$6:$A$2005,A172,$B$6:$B$2005,B172)&gt;1,"DUPLICATE",""))</f>
        <v/>
      </c>
    </row>
    <row r="173" spans="1:7">
      <c r="A173" s="9"/>
      <c r="B173" s="12"/>
      <c r="C173" s="10"/>
      <c r="D173" s="10"/>
      <c r="E173" s="10"/>
      <c r="F173" s="9"/>
      <c r="G173" s="11">
        <f>IF(OR(A173="",B173=""),"",IF(COUNTIFS($A$6:$A$2005,A173,$B$6:$B$2005,B173)&gt;1,"DUPLICATE",""))</f>
        <v/>
      </c>
    </row>
    <row r="174" spans="1:7">
      <c r="A174" s="9"/>
      <c r="B174" s="12"/>
      <c r="C174" s="10"/>
      <c r="D174" s="10"/>
      <c r="E174" s="10"/>
      <c r="F174" s="9"/>
      <c r="G174" s="11">
        <f>IF(OR(A174="",B174=""),"",IF(COUNTIFS($A$6:$A$2005,A174,$B$6:$B$2005,B174)&gt;1,"DUPLICATE",""))</f>
        <v/>
      </c>
    </row>
    <row r="175" spans="1:7">
      <c r="A175" s="9"/>
      <c r="B175" s="12"/>
      <c r="C175" s="10"/>
      <c r="D175" s="10"/>
      <c r="E175" s="10"/>
      <c r="F175" s="9"/>
      <c r="G175" s="11">
        <f>IF(OR(A175="",B175=""),"",IF(COUNTIFS($A$6:$A$2005,A175,$B$6:$B$2005,B175)&gt;1,"DUPLICATE",""))</f>
        <v/>
      </c>
    </row>
    <row r="176" spans="1:7">
      <c r="A176" s="9"/>
      <c r="B176" s="12"/>
      <c r="C176" s="10"/>
      <c r="D176" s="10"/>
      <c r="E176" s="10"/>
      <c r="F176" s="9"/>
      <c r="G176" s="11">
        <f>IF(OR(A176="",B176=""),"",IF(COUNTIFS($A$6:$A$2005,A176,$B$6:$B$2005,B176)&gt;1,"DUPLICATE",""))</f>
        <v/>
      </c>
    </row>
    <row r="177" spans="1:7">
      <c r="A177" s="9"/>
      <c r="B177" s="12"/>
      <c r="C177" s="10"/>
      <c r="D177" s="10"/>
      <c r="E177" s="10"/>
      <c r="F177" s="9"/>
      <c r="G177" s="11">
        <f>IF(OR(A177="",B177=""),"",IF(COUNTIFS($A$6:$A$2005,A177,$B$6:$B$2005,B177)&gt;1,"DUPLICATE",""))</f>
        <v/>
      </c>
    </row>
    <row r="178" spans="1:7">
      <c r="A178" s="9"/>
      <c r="B178" s="12"/>
      <c r="C178" s="10"/>
      <c r="D178" s="10"/>
      <c r="E178" s="10"/>
      <c r="F178" s="9"/>
      <c r="G178" s="11">
        <f>IF(OR(A178="",B178=""),"",IF(COUNTIFS($A$6:$A$2005,A178,$B$6:$B$2005,B178)&gt;1,"DUPLICATE",""))</f>
        <v/>
      </c>
    </row>
    <row r="179" spans="1:7">
      <c r="A179" s="9"/>
      <c r="B179" s="12"/>
      <c r="C179" s="10"/>
      <c r="D179" s="10"/>
      <c r="E179" s="10"/>
      <c r="F179" s="9"/>
      <c r="G179" s="11">
        <f>IF(OR(A179="",B179=""),"",IF(COUNTIFS($A$6:$A$2005,A179,$B$6:$B$2005,B179)&gt;1,"DUPLICATE",""))</f>
        <v/>
      </c>
    </row>
    <row r="180" spans="1:7">
      <c r="A180" s="9"/>
      <c r="B180" s="12"/>
      <c r="C180" s="10"/>
      <c r="D180" s="10"/>
      <c r="E180" s="10"/>
      <c r="F180" s="9"/>
      <c r="G180" s="11">
        <f>IF(OR(A180="",B180=""),"",IF(COUNTIFS($A$6:$A$2005,A180,$B$6:$B$2005,B180)&gt;1,"DUPLICATE",""))</f>
        <v/>
      </c>
    </row>
    <row r="181" spans="1:7">
      <c r="A181" s="9"/>
      <c r="B181" s="12"/>
      <c r="C181" s="10"/>
      <c r="D181" s="10"/>
      <c r="E181" s="10"/>
      <c r="F181" s="9"/>
      <c r="G181" s="11">
        <f>IF(OR(A181="",B181=""),"",IF(COUNTIFS($A$6:$A$2005,A181,$B$6:$B$2005,B181)&gt;1,"DUPLICATE",""))</f>
        <v/>
      </c>
    </row>
    <row r="182" spans="1:7">
      <c r="A182" s="9"/>
      <c r="B182" s="12"/>
      <c r="C182" s="10"/>
      <c r="D182" s="10"/>
      <c r="E182" s="10"/>
      <c r="F182" s="9"/>
      <c r="G182" s="11">
        <f>IF(OR(A182="",B182=""),"",IF(COUNTIFS($A$6:$A$2005,A182,$B$6:$B$2005,B182)&gt;1,"DUPLICATE",""))</f>
        <v/>
      </c>
    </row>
    <row r="183" spans="1:7">
      <c r="A183" s="9"/>
      <c r="B183" s="12"/>
      <c r="C183" s="10"/>
      <c r="D183" s="10"/>
      <c r="E183" s="10"/>
      <c r="F183" s="9"/>
      <c r="G183" s="11">
        <f>IF(OR(A183="",B183=""),"",IF(COUNTIFS($A$6:$A$2005,A183,$B$6:$B$2005,B183)&gt;1,"DUPLICATE",""))</f>
        <v/>
      </c>
    </row>
    <row r="184" spans="1:7">
      <c r="A184" s="9"/>
      <c r="B184" s="12"/>
      <c r="C184" s="10"/>
      <c r="D184" s="10"/>
      <c r="E184" s="10"/>
      <c r="F184" s="9"/>
      <c r="G184" s="11">
        <f>IF(OR(A184="",B184=""),"",IF(COUNTIFS($A$6:$A$2005,A184,$B$6:$B$2005,B184)&gt;1,"DUPLICATE",""))</f>
        <v/>
      </c>
    </row>
    <row r="185" spans="1:7">
      <c r="A185" s="9"/>
      <c r="B185" s="12"/>
      <c r="C185" s="10"/>
      <c r="D185" s="10"/>
      <c r="E185" s="10"/>
      <c r="F185" s="9"/>
      <c r="G185" s="11">
        <f>IF(OR(A185="",B185=""),"",IF(COUNTIFS($A$6:$A$2005,A185,$B$6:$B$2005,B185)&gt;1,"DUPLICATE",""))</f>
        <v/>
      </c>
    </row>
    <row r="186" spans="1:7">
      <c r="A186" s="9"/>
      <c r="B186" s="12"/>
      <c r="C186" s="10"/>
      <c r="D186" s="10"/>
      <c r="E186" s="10"/>
      <c r="F186" s="9"/>
      <c r="G186" s="11">
        <f>IF(OR(A186="",B186=""),"",IF(COUNTIFS($A$6:$A$2005,A186,$B$6:$B$2005,B186)&gt;1,"DUPLICATE",""))</f>
        <v/>
      </c>
    </row>
    <row r="187" spans="1:7">
      <c r="A187" s="9"/>
      <c r="B187" s="12"/>
      <c r="C187" s="10"/>
      <c r="D187" s="10"/>
      <c r="E187" s="10"/>
      <c r="F187" s="9"/>
      <c r="G187" s="11">
        <f>IF(OR(A187="",B187=""),"",IF(COUNTIFS($A$6:$A$2005,A187,$B$6:$B$2005,B187)&gt;1,"DUPLICATE",""))</f>
        <v/>
      </c>
    </row>
    <row r="188" spans="1:7">
      <c r="A188" s="9"/>
      <c r="B188" s="12"/>
      <c r="C188" s="10"/>
      <c r="D188" s="10"/>
      <c r="E188" s="10"/>
      <c r="F188" s="9"/>
      <c r="G188" s="11">
        <f>IF(OR(A188="",B188=""),"",IF(COUNTIFS($A$6:$A$2005,A188,$B$6:$B$2005,B188)&gt;1,"DUPLICATE",""))</f>
        <v/>
      </c>
    </row>
    <row r="189" spans="1:7">
      <c r="A189" s="9"/>
      <c r="B189" s="12"/>
      <c r="C189" s="10"/>
      <c r="D189" s="10"/>
      <c r="E189" s="10"/>
      <c r="F189" s="9"/>
      <c r="G189" s="11">
        <f>IF(OR(A189="",B189=""),"",IF(COUNTIFS($A$6:$A$2005,A189,$B$6:$B$2005,B189)&gt;1,"DUPLICATE",""))</f>
        <v/>
      </c>
    </row>
    <row r="190" spans="1:7">
      <c r="A190" s="9"/>
      <c r="B190" s="12"/>
      <c r="C190" s="10"/>
      <c r="D190" s="10"/>
      <c r="E190" s="10"/>
      <c r="F190" s="9"/>
      <c r="G190" s="11">
        <f>IF(OR(A190="",B190=""),"",IF(COUNTIFS($A$6:$A$2005,A190,$B$6:$B$2005,B190)&gt;1,"DUPLICATE",""))</f>
        <v/>
      </c>
    </row>
    <row r="191" spans="1:7">
      <c r="A191" s="9"/>
      <c r="B191" s="12"/>
      <c r="C191" s="10"/>
      <c r="D191" s="10"/>
      <c r="E191" s="10"/>
      <c r="F191" s="9"/>
      <c r="G191" s="11">
        <f>IF(OR(A191="",B191=""),"",IF(COUNTIFS($A$6:$A$2005,A191,$B$6:$B$2005,B191)&gt;1,"DUPLICATE",""))</f>
        <v/>
      </c>
    </row>
    <row r="192" spans="1:7">
      <c r="A192" s="9"/>
      <c r="B192" s="12"/>
      <c r="C192" s="10"/>
      <c r="D192" s="10"/>
      <c r="E192" s="10"/>
      <c r="F192" s="9"/>
      <c r="G192" s="11">
        <f>IF(OR(A192="",B192=""),"",IF(COUNTIFS($A$6:$A$2005,A192,$B$6:$B$2005,B192)&gt;1,"DUPLICATE",""))</f>
        <v/>
      </c>
    </row>
    <row r="193" spans="1:7">
      <c r="A193" s="9"/>
      <c r="B193" s="12"/>
      <c r="C193" s="10"/>
      <c r="D193" s="10"/>
      <c r="E193" s="10"/>
      <c r="F193" s="9"/>
      <c r="G193" s="11">
        <f>IF(OR(A193="",B193=""),"",IF(COUNTIFS($A$6:$A$2005,A193,$B$6:$B$2005,B193)&gt;1,"DUPLICATE",""))</f>
        <v/>
      </c>
    </row>
    <row r="194" spans="1:7">
      <c r="A194" s="9"/>
      <c r="B194" s="12"/>
      <c r="C194" s="10"/>
      <c r="D194" s="10"/>
      <c r="E194" s="10"/>
      <c r="F194" s="9"/>
      <c r="G194" s="11">
        <f>IF(OR(A194="",B194=""),"",IF(COUNTIFS($A$6:$A$2005,A194,$B$6:$B$2005,B194)&gt;1,"DUPLICATE",""))</f>
        <v/>
      </c>
    </row>
    <row r="195" spans="1:7">
      <c r="A195" s="9"/>
      <c r="B195" s="12"/>
      <c r="C195" s="10"/>
      <c r="D195" s="10"/>
      <c r="E195" s="10"/>
      <c r="F195" s="9"/>
      <c r="G195" s="11">
        <f>IF(OR(A195="",B195=""),"",IF(COUNTIFS($A$6:$A$2005,A195,$B$6:$B$2005,B195)&gt;1,"DUPLICATE",""))</f>
        <v/>
      </c>
    </row>
    <row r="196" spans="1:7">
      <c r="A196" s="9"/>
      <c r="B196" s="12"/>
      <c r="C196" s="10"/>
      <c r="D196" s="10"/>
      <c r="E196" s="10"/>
      <c r="F196" s="9"/>
      <c r="G196" s="11">
        <f>IF(OR(A196="",B196=""),"",IF(COUNTIFS($A$6:$A$2005,A196,$B$6:$B$2005,B196)&gt;1,"DUPLICATE",""))</f>
        <v/>
      </c>
    </row>
    <row r="197" spans="1:7">
      <c r="A197" s="9"/>
      <c r="B197" s="12"/>
      <c r="C197" s="10"/>
      <c r="D197" s="10"/>
      <c r="E197" s="10"/>
      <c r="F197" s="9"/>
      <c r="G197" s="11">
        <f>IF(OR(A197="",B197=""),"",IF(COUNTIFS($A$6:$A$2005,A197,$B$6:$B$2005,B197)&gt;1,"DUPLICATE",""))</f>
        <v/>
      </c>
    </row>
    <row r="198" spans="1:7">
      <c r="A198" s="9"/>
      <c r="B198" s="12"/>
      <c r="C198" s="10"/>
      <c r="D198" s="10"/>
      <c r="E198" s="10"/>
      <c r="F198" s="9"/>
      <c r="G198" s="11">
        <f>IF(OR(A198="",B198=""),"",IF(COUNTIFS($A$6:$A$2005,A198,$B$6:$B$2005,B198)&gt;1,"DUPLICATE",""))</f>
        <v/>
      </c>
    </row>
    <row r="199" spans="1:7">
      <c r="A199" s="9"/>
      <c r="B199" s="12"/>
      <c r="C199" s="10"/>
      <c r="D199" s="10"/>
      <c r="E199" s="10"/>
      <c r="F199" s="9"/>
      <c r="G199" s="11">
        <f>IF(OR(A199="",B199=""),"",IF(COUNTIFS($A$6:$A$2005,A199,$B$6:$B$2005,B199)&gt;1,"DUPLICATE",""))</f>
        <v/>
      </c>
    </row>
    <row r="200" spans="1:7">
      <c r="A200" s="9"/>
      <c r="B200" s="12"/>
      <c r="C200" s="10"/>
      <c r="D200" s="10"/>
      <c r="E200" s="10"/>
      <c r="F200" s="9"/>
      <c r="G200" s="11">
        <f>IF(OR(A200="",B200=""),"",IF(COUNTIFS($A$6:$A$2005,A200,$B$6:$B$2005,B200)&gt;1,"DUPLICATE",""))</f>
        <v/>
      </c>
    </row>
    <row r="201" spans="1:7">
      <c r="A201" s="9"/>
      <c r="B201" s="12"/>
      <c r="C201" s="10"/>
      <c r="D201" s="10"/>
      <c r="E201" s="10"/>
      <c r="F201" s="9"/>
      <c r="G201" s="11">
        <f>IF(OR(A201="",B201=""),"",IF(COUNTIFS($A$6:$A$2005,A201,$B$6:$B$2005,B201)&gt;1,"DUPLICATE",""))</f>
        <v/>
      </c>
    </row>
    <row r="202" spans="1:7">
      <c r="A202" s="9"/>
      <c r="B202" s="12"/>
      <c r="C202" s="10"/>
      <c r="D202" s="10"/>
      <c r="E202" s="10"/>
      <c r="F202" s="9"/>
      <c r="G202" s="11">
        <f>IF(OR(A202="",B202=""),"",IF(COUNTIFS($A$6:$A$2005,A202,$B$6:$B$2005,B202)&gt;1,"DUPLICATE",""))</f>
        <v/>
      </c>
    </row>
    <row r="203" spans="1:7">
      <c r="A203" s="9"/>
      <c r="B203" s="12"/>
      <c r="C203" s="10"/>
      <c r="D203" s="10"/>
      <c r="E203" s="10"/>
      <c r="F203" s="9"/>
      <c r="G203" s="11">
        <f>IF(OR(A203="",B203=""),"",IF(COUNTIFS($A$6:$A$2005,A203,$B$6:$B$2005,B203)&gt;1,"DUPLICATE",""))</f>
        <v/>
      </c>
    </row>
    <row r="204" spans="1:7">
      <c r="A204" s="9"/>
      <c r="B204" s="12"/>
      <c r="C204" s="10"/>
      <c r="D204" s="10"/>
      <c r="E204" s="10"/>
      <c r="F204" s="9"/>
      <c r="G204" s="11">
        <f>IF(OR(A204="",B204=""),"",IF(COUNTIFS($A$6:$A$2005,A204,$B$6:$B$2005,B204)&gt;1,"DUPLICATE",""))</f>
        <v/>
      </c>
    </row>
    <row r="205" spans="1:7">
      <c r="A205" s="9"/>
      <c r="B205" s="12"/>
      <c r="C205" s="10"/>
      <c r="D205" s="10"/>
      <c r="E205" s="10"/>
      <c r="F205" s="9"/>
      <c r="G205" s="11">
        <f>IF(OR(A205="",B205=""),"",IF(COUNTIFS($A$6:$A$2005,A205,$B$6:$B$2005,B205)&gt;1,"DUPLICATE",""))</f>
        <v/>
      </c>
    </row>
    <row r="206" spans="1:7">
      <c r="A206" s="9"/>
      <c r="B206" s="12"/>
      <c r="C206" s="10"/>
      <c r="D206" s="10"/>
      <c r="E206" s="10"/>
      <c r="F206" s="9"/>
      <c r="G206" s="11">
        <f>IF(OR(A206="",B206=""),"",IF(COUNTIFS($A$6:$A$2005,A206,$B$6:$B$2005,B206)&gt;1,"DUPLICATE",""))</f>
        <v/>
      </c>
    </row>
    <row r="207" spans="1:7">
      <c r="A207" s="9"/>
      <c r="B207" s="12"/>
      <c r="C207" s="10"/>
      <c r="D207" s="10"/>
      <c r="E207" s="10"/>
      <c r="F207" s="9"/>
      <c r="G207" s="11">
        <f>IF(OR(A207="",B207=""),"",IF(COUNTIFS($A$6:$A$2005,A207,$B$6:$B$2005,B207)&gt;1,"DUPLICATE",""))</f>
        <v/>
      </c>
    </row>
    <row r="208" spans="1:7">
      <c r="A208" s="9"/>
      <c r="B208" s="12"/>
      <c r="C208" s="10"/>
      <c r="D208" s="10"/>
      <c r="E208" s="10"/>
      <c r="F208" s="9"/>
      <c r="G208" s="11">
        <f>IF(OR(A208="",B208=""),"",IF(COUNTIFS($A$6:$A$2005,A208,$B$6:$B$2005,B208)&gt;1,"DUPLICATE",""))</f>
        <v/>
      </c>
    </row>
    <row r="209" spans="1:7">
      <c r="A209" s="9"/>
      <c r="B209" s="12"/>
      <c r="C209" s="10"/>
      <c r="D209" s="10"/>
      <c r="E209" s="10"/>
      <c r="F209" s="9"/>
      <c r="G209" s="11">
        <f>IF(OR(A209="",B209=""),"",IF(COUNTIFS($A$6:$A$2005,A209,$B$6:$B$2005,B209)&gt;1,"DUPLICATE",""))</f>
        <v/>
      </c>
    </row>
    <row r="210" spans="1:7">
      <c r="A210" s="9"/>
      <c r="B210" s="12"/>
      <c r="C210" s="10"/>
      <c r="D210" s="10"/>
      <c r="E210" s="10"/>
      <c r="F210" s="9"/>
      <c r="G210" s="11">
        <f>IF(OR(A210="",B210=""),"",IF(COUNTIFS($A$6:$A$2005,A210,$B$6:$B$2005,B210)&gt;1,"DUPLICATE",""))</f>
        <v/>
      </c>
    </row>
    <row r="211" spans="1:7">
      <c r="A211" s="9"/>
      <c r="B211" s="12"/>
      <c r="C211" s="10"/>
      <c r="D211" s="10"/>
      <c r="E211" s="10"/>
      <c r="F211" s="9"/>
      <c r="G211" s="11">
        <f>IF(OR(A211="",B211=""),"",IF(COUNTIFS($A$6:$A$2005,A211,$B$6:$B$2005,B211)&gt;1,"DUPLICATE",""))</f>
        <v/>
      </c>
    </row>
    <row r="212" spans="1:7">
      <c r="A212" s="9"/>
      <c r="B212" s="12"/>
      <c r="C212" s="10"/>
      <c r="D212" s="10"/>
      <c r="E212" s="10"/>
      <c r="F212" s="9"/>
      <c r="G212" s="11">
        <f>IF(OR(A212="",B212=""),"",IF(COUNTIFS($A$6:$A$2005,A212,$B$6:$B$2005,B212)&gt;1,"DUPLICATE",""))</f>
        <v/>
      </c>
    </row>
    <row r="213" spans="1:7">
      <c r="A213" s="9"/>
      <c r="B213" s="12"/>
      <c r="C213" s="10"/>
      <c r="D213" s="10"/>
      <c r="E213" s="10"/>
      <c r="F213" s="9"/>
      <c r="G213" s="11">
        <f>IF(OR(A213="",B213=""),"",IF(COUNTIFS($A$6:$A$2005,A213,$B$6:$B$2005,B213)&gt;1,"DUPLICATE",""))</f>
        <v/>
      </c>
    </row>
    <row r="214" spans="1:7">
      <c r="A214" s="9"/>
      <c r="B214" s="12"/>
      <c r="C214" s="10"/>
      <c r="D214" s="10"/>
      <c r="E214" s="10"/>
      <c r="F214" s="9"/>
      <c r="G214" s="11">
        <f>IF(OR(A214="",B214=""),"",IF(COUNTIFS($A$6:$A$2005,A214,$B$6:$B$2005,B214)&gt;1,"DUPLICATE",""))</f>
        <v/>
      </c>
    </row>
    <row r="215" spans="1:7">
      <c r="A215" s="9"/>
      <c r="B215" s="12"/>
      <c r="C215" s="10"/>
      <c r="D215" s="10"/>
      <c r="E215" s="10"/>
      <c r="F215" s="9"/>
      <c r="G215" s="11">
        <f>IF(OR(A215="",B215=""),"",IF(COUNTIFS($A$6:$A$2005,A215,$B$6:$B$2005,B215)&gt;1,"DUPLICATE",""))</f>
        <v/>
      </c>
    </row>
    <row r="216" spans="1:7">
      <c r="A216" s="9"/>
      <c r="B216" s="12"/>
      <c r="C216" s="10"/>
      <c r="D216" s="10"/>
      <c r="E216" s="10"/>
      <c r="F216" s="9"/>
      <c r="G216" s="11">
        <f>IF(OR(A216="",B216=""),"",IF(COUNTIFS($A$6:$A$2005,A216,$B$6:$B$2005,B216)&gt;1,"DUPLICATE",""))</f>
        <v/>
      </c>
    </row>
    <row r="217" spans="1:7">
      <c r="A217" s="9"/>
      <c r="B217" s="12"/>
      <c r="C217" s="10"/>
      <c r="D217" s="10"/>
      <c r="E217" s="10"/>
      <c r="F217" s="9"/>
      <c r="G217" s="11">
        <f>IF(OR(A217="",B217=""),"",IF(COUNTIFS($A$6:$A$2005,A217,$B$6:$B$2005,B217)&gt;1,"DUPLICATE",""))</f>
        <v/>
      </c>
    </row>
    <row r="218" spans="1:7">
      <c r="A218" s="9"/>
      <c r="B218" s="12"/>
      <c r="C218" s="10"/>
      <c r="D218" s="10"/>
      <c r="E218" s="10"/>
      <c r="F218" s="9"/>
      <c r="G218" s="11">
        <f>IF(OR(A218="",B218=""),"",IF(COUNTIFS($A$6:$A$2005,A218,$B$6:$B$2005,B218)&gt;1,"DUPLICATE",""))</f>
        <v/>
      </c>
    </row>
    <row r="219" spans="1:7">
      <c r="A219" s="9"/>
      <c r="B219" s="12"/>
      <c r="C219" s="10"/>
      <c r="D219" s="10"/>
      <c r="E219" s="10"/>
      <c r="F219" s="9"/>
      <c r="G219" s="11">
        <f>IF(OR(A219="",B219=""),"",IF(COUNTIFS($A$6:$A$2005,A219,$B$6:$B$2005,B219)&gt;1,"DUPLICATE",""))</f>
        <v/>
      </c>
    </row>
    <row r="220" spans="1:7">
      <c r="A220" s="9"/>
      <c r="B220" s="12"/>
      <c r="C220" s="10"/>
      <c r="D220" s="10"/>
      <c r="E220" s="10"/>
      <c r="F220" s="9"/>
      <c r="G220" s="11">
        <f>IF(OR(A220="",B220=""),"",IF(COUNTIFS($A$6:$A$2005,A220,$B$6:$B$2005,B220)&gt;1,"DUPLICATE",""))</f>
        <v/>
      </c>
    </row>
    <row r="221" spans="1:7">
      <c r="A221" s="9"/>
      <c r="B221" s="12"/>
      <c r="C221" s="10"/>
      <c r="D221" s="10"/>
      <c r="E221" s="10"/>
      <c r="F221" s="9"/>
      <c r="G221" s="11">
        <f>IF(OR(A221="",B221=""),"",IF(COUNTIFS($A$6:$A$2005,A221,$B$6:$B$2005,B221)&gt;1,"DUPLICATE",""))</f>
        <v/>
      </c>
    </row>
    <row r="222" spans="1:7">
      <c r="A222" s="9"/>
      <c r="B222" s="12"/>
      <c r="C222" s="10"/>
      <c r="D222" s="10"/>
      <c r="E222" s="10"/>
      <c r="F222" s="9"/>
      <c r="G222" s="11">
        <f>IF(OR(A222="",B222=""),"",IF(COUNTIFS($A$6:$A$2005,A222,$B$6:$B$2005,B222)&gt;1,"DUPLICATE",""))</f>
        <v/>
      </c>
    </row>
    <row r="223" spans="1:7">
      <c r="A223" s="9"/>
      <c r="B223" s="12"/>
      <c r="C223" s="10"/>
      <c r="D223" s="10"/>
      <c r="E223" s="10"/>
      <c r="F223" s="9"/>
      <c r="G223" s="11">
        <f>IF(OR(A223="",B223=""),"",IF(COUNTIFS($A$6:$A$2005,A223,$B$6:$B$2005,B223)&gt;1,"DUPLICATE",""))</f>
        <v/>
      </c>
    </row>
    <row r="224" spans="1:7">
      <c r="A224" s="9"/>
      <c r="B224" s="12"/>
      <c r="C224" s="10"/>
      <c r="D224" s="10"/>
      <c r="E224" s="10"/>
      <c r="F224" s="9"/>
      <c r="G224" s="11">
        <f>IF(OR(A224="",B224=""),"",IF(COUNTIFS($A$6:$A$2005,A224,$B$6:$B$2005,B224)&gt;1,"DUPLICATE",""))</f>
        <v/>
      </c>
    </row>
    <row r="225" spans="1:7">
      <c r="A225" s="9"/>
      <c r="B225" s="12"/>
      <c r="C225" s="10"/>
      <c r="D225" s="10"/>
      <c r="E225" s="10"/>
      <c r="F225" s="9"/>
      <c r="G225" s="11">
        <f>IF(OR(A225="",B225=""),"",IF(COUNTIFS($A$6:$A$2005,A225,$B$6:$B$2005,B225)&gt;1,"DUPLICATE",""))</f>
        <v/>
      </c>
    </row>
    <row r="226" spans="1:7">
      <c r="A226" s="9"/>
      <c r="B226" s="12"/>
      <c r="C226" s="10"/>
      <c r="D226" s="10"/>
      <c r="E226" s="10"/>
      <c r="F226" s="9"/>
      <c r="G226" s="11">
        <f>IF(OR(A226="",B226=""),"",IF(COUNTIFS($A$6:$A$2005,A226,$B$6:$B$2005,B226)&gt;1,"DUPLICATE",""))</f>
        <v/>
      </c>
    </row>
    <row r="227" spans="1:7">
      <c r="A227" s="9"/>
      <c r="B227" s="12"/>
      <c r="C227" s="10"/>
      <c r="D227" s="10"/>
      <c r="E227" s="10"/>
      <c r="F227" s="9"/>
      <c r="G227" s="11">
        <f>IF(OR(A227="",B227=""),"",IF(COUNTIFS($A$6:$A$2005,A227,$B$6:$B$2005,B227)&gt;1,"DUPLICATE",""))</f>
        <v/>
      </c>
    </row>
    <row r="228" spans="1:7">
      <c r="A228" s="9"/>
      <c r="B228" s="12"/>
      <c r="C228" s="10"/>
      <c r="D228" s="10"/>
      <c r="E228" s="10"/>
      <c r="F228" s="9"/>
      <c r="G228" s="11">
        <f>IF(OR(A228="",B228=""),"",IF(COUNTIFS($A$6:$A$2005,A228,$B$6:$B$2005,B228)&gt;1,"DUPLICATE",""))</f>
        <v/>
      </c>
    </row>
    <row r="229" spans="1:7">
      <c r="A229" s="9"/>
      <c r="B229" s="12"/>
      <c r="C229" s="10"/>
      <c r="D229" s="10"/>
      <c r="E229" s="10"/>
      <c r="F229" s="9"/>
      <c r="G229" s="11">
        <f>IF(OR(A229="",B229=""),"",IF(COUNTIFS($A$6:$A$2005,A229,$B$6:$B$2005,B229)&gt;1,"DUPLICATE",""))</f>
        <v/>
      </c>
    </row>
    <row r="230" spans="1:7">
      <c r="A230" s="9"/>
      <c r="B230" s="12"/>
      <c r="C230" s="10"/>
      <c r="D230" s="10"/>
      <c r="E230" s="10"/>
      <c r="F230" s="9"/>
      <c r="G230" s="11">
        <f>IF(OR(A230="",B230=""),"",IF(COUNTIFS($A$6:$A$2005,A230,$B$6:$B$2005,B230)&gt;1,"DUPLICATE",""))</f>
        <v/>
      </c>
    </row>
    <row r="231" spans="1:7">
      <c r="A231" s="9"/>
      <c r="B231" s="12"/>
      <c r="C231" s="10"/>
      <c r="D231" s="10"/>
      <c r="E231" s="10"/>
      <c r="F231" s="9"/>
      <c r="G231" s="11">
        <f>IF(OR(A231="",B231=""),"",IF(COUNTIFS($A$6:$A$2005,A231,$B$6:$B$2005,B231)&gt;1,"DUPLICATE",""))</f>
        <v/>
      </c>
    </row>
    <row r="232" spans="1:7">
      <c r="A232" s="9"/>
      <c r="B232" s="12"/>
      <c r="C232" s="10"/>
      <c r="D232" s="10"/>
      <c r="E232" s="10"/>
      <c r="F232" s="9"/>
      <c r="G232" s="11">
        <f>IF(OR(A232="",B232=""),"",IF(COUNTIFS($A$6:$A$2005,A232,$B$6:$B$2005,B232)&gt;1,"DUPLICATE",""))</f>
        <v/>
      </c>
    </row>
    <row r="233" spans="1:7">
      <c r="A233" s="9"/>
      <c r="B233" s="12"/>
      <c r="C233" s="10"/>
      <c r="D233" s="10"/>
      <c r="E233" s="10"/>
      <c r="F233" s="9"/>
      <c r="G233" s="11">
        <f>IF(OR(A233="",B233=""),"",IF(COUNTIFS($A$6:$A$2005,A233,$B$6:$B$2005,B233)&gt;1,"DUPLICATE",""))</f>
        <v/>
      </c>
    </row>
    <row r="234" spans="1:7">
      <c r="A234" s="9"/>
      <c r="B234" s="12"/>
      <c r="C234" s="10"/>
      <c r="D234" s="10"/>
      <c r="E234" s="10"/>
      <c r="F234" s="9"/>
      <c r="G234" s="11">
        <f>IF(OR(A234="",B234=""),"",IF(COUNTIFS($A$6:$A$2005,A234,$B$6:$B$2005,B234)&gt;1,"DUPLICATE",""))</f>
        <v/>
      </c>
    </row>
    <row r="235" spans="1:7">
      <c r="A235" s="9"/>
      <c r="B235" s="12"/>
      <c r="C235" s="10"/>
      <c r="D235" s="10"/>
      <c r="E235" s="10"/>
      <c r="F235" s="9"/>
      <c r="G235" s="11">
        <f>IF(OR(A235="",B235=""),"",IF(COUNTIFS($A$6:$A$2005,A235,$B$6:$B$2005,B235)&gt;1,"DUPLICATE",""))</f>
        <v/>
      </c>
    </row>
    <row r="236" spans="1:7">
      <c r="A236" s="9"/>
      <c r="B236" s="12"/>
      <c r="C236" s="10"/>
      <c r="D236" s="10"/>
      <c r="E236" s="10"/>
      <c r="F236" s="9"/>
      <c r="G236" s="11">
        <f>IF(OR(A236="",B236=""),"",IF(COUNTIFS($A$6:$A$2005,A236,$B$6:$B$2005,B236)&gt;1,"DUPLICATE",""))</f>
        <v/>
      </c>
    </row>
    <row r="237" spans="1:7">
      <c r="A237" s="9"/>
      <c r="B237" s="12"/>
      <c r="C237" s="10"/>
      <c r="D237" s="10"/>
      <c r="E237" s="10"/>
      <c r="F237" s="9"/>
      <c r="G237" s="11">
        <f>IF(OR(A237="",B237=""),"",IF(COUNTIFS($A$6:$A$2005,A237,$B$6:$B$2005,B237)&gt;1,"DUPLICATE",""))</f>
        <v/>
      </c>
    </row>
    <row r="238" spans="1:7">
      <c r="A238" s="9"/>
      <c r="B238" s="12"/>
      <c r="C238" s="10"/>
      <c r="D238" s="10"/>
      <c r="E238" s="10"/>
      <c r="F238" s="9"/>
      <c r="G238" s="11">
        <f>IF(OR(A238="",B238=""),"",IF(COUNTIFS($A$6:$A$2005,A238,$B$6:$B$2005,B238)&gt;1,"DUPLICATE",""))</f>
        <v/>
      </c>
    </row>
    <row r="239" spans="1:7">
      <c r="A239" s="9"/>
      <c r="B239" s="12"/>
      <c r="C239" s="10"/>
      <c r="D239" s="10"/>
      <c r="E239" s="10"/>
      <c r="F239" s="9"/>
      <c r="G239" s="11">
        <f>IF(OR(A239="",B239=""),"",IF(COUNTIFS($A$6:$A$2005,A239,$B$6:$B$2005,B239)&gt;1,"DUPLICATE",""))</f>
        <v/>
      </c>
    </row>
    <row r="240" spans="1:7">
      <c r="A240" s="9"/>
      <c r="B240" s="12"/>
      <c r="C240" s="10"/>
      <c r="D240" s="10"/>
      <c r="E240" s="10"/>
      <c r="F240" s="9"/>
      <c r="G240" s="11">
        <f>IF(OR(A240="",B240=""),"",IF(COUNTIFS($A$6:$A$2005,A240,$B$6:$B$2005,B240)&gt;1,"DUPLICATE",""))</f>
        <v/>
      </c>
    </row>
    <row r="241" spans="1:7">
      <c r="A241" s="9"/>
      <c r="B241" s="12"/>
      <c r="C241" s="10"/>
      <c r="D241" s="10"/>
      <c r="E241" s="10"/>
      <c r="F241" s="9"/>
      <c r="G241" s="11">
        <f>IF(OR(A241="",B241=""),"",IF(COUNTIFS($A$6:$A$2005,A241,$B$6:$B$2005,B241)&gt;1,"DUPLICATE",""))</f>
        <v/>
      </c>
    </row>
    <row r="242" spans="1:7">
      <c r="A242" s="9"/>
      <c r="B242" s="12"/>
      <c r="C242" s="10"/>
      <c r="D242" s="10"/>
      <c r="E242" s="10"/>
      <c r="F242" s="9"/>
      <c r="G242" s="11">
        <f>IF(OR(A242="",B242=""),"",IF(COUNTIFS($A$6:$A$2005,A242,$B$6:$B$2005,B242)&gt;1,"DUPLICATE",""))</f>
        <v/>
      </c>
    </row>
    <row r="243" spans="1:7">
      <c r="A243" s="9"/>
      <c r="B243" s="12"/>
      <c r="C243" s="10"/>
      <c r="D243" s="10"/>
      <c r="E243" s="10"/>
      <c r="F243" s="9"/>
      <c r="G243" s="11">
        <f>IF(OR(A243="",B243=""),"",IF(COUNTIFS($A$6:$A$2005,A243,$B$6:$B$2005,B243)&gt;1,"DUPLICATE",""))</f>
        <v/>
      </c>
    </row>
    <row r="244" spans="1:7">
      <c r="A244" s="9"/>
      <c r="B244" s="12"/>
      <c r="C244" s="10"/>
      <c r="D244" s="10"/>
      <c r="E244" s="10"/>
      <c r="F244" s="9"/>
      <c r="G244" s="11">
        <f>IF(OR(A244="",B244=""),"",IF(COUNTIFS($A$6:$A$2005,A244,$B$6:$B$2005,B244)&gt;1,"DUPLICATE",""))</f>
        <v/>
      </c>
    </row>
    <row r="245" spans="1:7">
      <c r="A245" s="9"/>
      <c r="B245" s="12"/>
      <c r="C245" s="10"/>
      <c r="D245" s="10"/>
      <c r="E245" s="10"/>
      <c r="F245" s="9"/>
      <c r="G245" s="11">
        <f>IF(OR(A245="",B245=""),"",IF(COUNTIFS($A$6:$A$2005,A245,$B$6:$B$2005,B245)&gt;1,"DUPLICATE",""))</f>
        <v/>
      </c>
    </row>
    <row r="246" spans="1:7">
      <c r="A246" s="9"/>
      <c r="B246" s="12"/>
      <c r="C246" s="10"/>
      <c r="D246" s="10"/>
      <c r="E246" s="10"/>
      <c r="F246" s="9"/>
      <c r="G246" s="11">
        <f>IF(OR(A246="",B246=""),"",IF(COUNTIFS($A$6:$A$2005,A246,$B$6:$B$2005,B246)&gt;1,"DUPLICATE",""))</f>
        <v/>
      </c>
    </row>
    <row r="247" spans="1:7">
      <c r="A247" s="9"/>
      <c r="B247" s="12"/>
      <c r="C247" s="10"/>
      <c r="D247" s="10"/>
      <c r="E247" s="10"/>
      <c r="F247" s="9"/>
      <c r="G247" s="11">
        <f>IF(OR(A247="",B247=""),"",IF(COUNTIFS($A$6:$A$2005,A247,$B$6:$B$2005,B247)&gt;1,"DUPLICATE",""))</f>
        <v/>
      </c>
    </row>
    <row r="248" spans="1:7">
      <c r="A248" s="9"/>
      <c r="B248" s="12"/>
      <c r="C248" s="10"/>
      <c r="D248" s="10"/>
      <c r="E248" s="10"/>
      <c r="F248" s="9"/>
      <c r="G248" s="11">
        <f>IF(OR(A248="",B248=""),"",IF(COUNTIFS($A$6:$A$2005,A248,$B$6:$B$2005,B248)&gt;1,"DUPLICATE",""))</f>
        <v/>
      </c>
    </row>
    <row r="249" spans="1:7">
      <c r="A249" s="9"/>
      <c r="B249" s="12"/>
      <c r="C249" s="10"/>
      <c r="D249" s="10"/>
      <c r="E249" s="10"/>
      <c r="F249" s="9"/>
      <c r="G249" s="11">
        <f>IF(OR(A249="",B249=""),"",IF(COUNTIFS($A$6:$A$2005,A249,$B$6:$B$2005,B249)&gt;1,"DUPLICATE",""))</f>
        <v/>
      </c>
    </row>
    <row r="250" spans="1:7">
      <c r="A250" s="9"/>
      <c r="B250" s="12"/>
      <c r="C250" s="10"/>
      <c r="D250" s="10"/>
      <c r="E250" s="10"/>
      <c r="F250" s="9"/>
      <c r="G250" s="11">
        <f>IF(OR(A250="",B250=""),"",IF(COUNTIFS($A$6:$A$2005,A250,$B$6:$B$2005,B250)&gt;1,"DUPLICATE",""))</f>
        <v/>
      </c>
    </row>
    <row r="251" spans="1:7">
      <c r="A251" s="9"/>
      <c r="B251" s="12"/>
      <c r="C251" s="10"/>
      <c r="D251" s="10"/>
      <c r="E251" s="10"/>
      <c r="F251" s="9"/>
      <c r="G251" s="11">
        <f>IF(OR(A251="",B251=""),"",IF(COUNTIFS($A$6:$A$2005,A251,$B$6:$B$2005,B251)&gt;1,"DUPLICATE",""))</f>
        <v/>
      </c>
    </row>
    <row r="252" spans="1:7">
      <c r="A252" s="9"/>
      <c r="B252" s="12"/>
      <c r="C252" s="10"/>
      <c r="D252" s="10"/>
      <c r="E252" s="10"/>
      <c r="F252" s="9"/>
      <c r="G252" s="11">
        <f>IF(OR(A252="",B252=""),"",IF(COUNTIFS($A$6:$A$2005,A252,$B$6:$B$2005,B252)&gt;1,"DUPLICATE",""))</f>
        <v/>
      </c>
    </row>
    <row r="253" spans="1:7">
      <c r="A253" s="9"/>
      <c r="B253" s="12"/>
      <c r="C253" s="10"/>
      <c r="D253" s="10"/>
      <c r="E253" s="10"/>
      <c r="F253" s="9"/>
      <c r="G253" s="11">
        <f>IF(OR(A253="",B253=""),"",IF(COUNTIFS($A$6:$A$2005,A253,$B$6:$B$2005,B253)&gt;1,"DUPLICATE",""))</f>
        <v/>
      </c>
    </row>
    <row r="254" spans="1:7">
      <c r="A254" s="9"/>
      <c r="B254" s="12"/>
      <c r="C254" s="10"/>
      <c r="D254" s="10"/>
      <c r="E254" s="10"/>
      <c r="F254" s="9"/>
      <c r="G254" s="11">
        <f>IF(OR(A254="",B254=""),"",IF(COUNTIFS($A$6:$A$2005,A254,$B$6:$B$2005,B254)&gt;1,"DUPLICATE",""))</f>
        <v/>
      </c>
    </row>
    <row r="255" spans="1:7">
      <c r="A255" s="9"/>
      <c r="B255" s="12"/>
      <c r="C255" s="10"/>
      <c r="D255" s="10"/>
      <c r="E255" s="10"/>
      <c r="F255" s="9"/>
      <c r="G255" s="11">
        <f>IF(OR(A255="",B255=""),"",IF(COUNTIFS($A$6:$A$2005,A255,$B$6:$B$2005,B255)&gt;1,"DUPLICATE",""))</f>
        <v/>
      </c>
    </row>
    <row r="256" spans="1:7">
      <c r="A256" s="9"/>
      <c r="B256" s="12"/>
      <c r="C256" s="10"/>
      <c r="D256" s="10"/>
      <c r="E256" s="10"/>
      <c r="F256" s="9"/>
      <c r="G256" s="11">
        <f>IF(OR(A256="",B256=""),"",IF(COUNTIFS($A$6:$A$2005,A256,$B$6:$B$2005,B256)&gt;1,"DUPLICATE",""))</f>
        <v/>
      </c>
    </row>
    <row r="257" spans="1:7">
      <c r="A257" s="9"/>
      <c r="B257" s="12"/>
      <c r="C257" s="10"/>
      <c r="D257" s="10"/>
      <c r="E257" s="10"/>
      <c r="F257" s="9"/>
      <c r="G257" s="11">
        <f>IF(OR(A257="",B257=""),"",IF(COUNTIFS($A$6:$A$2005,A257,$B$6:$B$2005,B257)&gt;1,"DUPLICATE",""))</f>
        <v/>
      </c>
    </row>
    <row r="258" spans="1:7">
      <c r="A258" s="9"/>
      <c r="B258" s="12"/>
      <c r="C258" s="10"/>
      <c r="D258" s="10"/>
      <c r="E258" s="10"/>
      <c r="F258" s="9"/>
      <c r="G258" s="11">
        <f>IF(OR(A258="",B258=""),"",IF(COUNTIFS($A$6:$A$2005,A258,$B$6:$B$2005,B258)&gt;1,"DUPLICATE",""))</f>
        <v/>
      </c>
    </row>
    <row r="259" spans="1:7">
      <c r="A259" s="9"/>
      <c r="B259" s="12"/>
      <c r="C259" s="10"/>
      <c r="D259" s="10"/>
      <c r="E259" s="10"/>
      <c r="F259" s="9"/>
      <c r="G259" s="11">
        <f>IF(OR(A259="",B259=""),"",IF(COUNTIFS($A$6:$A$2005,A259,$B$6:$B$2005,B259)&gt;1,"DUPLICATE",""))</f>
        <v/>
      </c>
    </row>
    <row r="260" spans="1:7">
      <c r="A260" s="9"/>
      <c r="B260" s="12"/>
      <c r="C260" s="10"/>
      <c r="D260" s="10"/>
      <c r="E260" s="10"/>
      <c r="F260" s="9"/>
      <c r="G260" s="11">
        <f>IF(OR(A260="",B260=""),"",IF(COUNTIFS($A$6:$A$2005,A260,$B$6:$B$2005,B260)&gt;1,"DUPLICATE",""))</f>
        <v/>
      </c>
    </row>
    <row r="261" spans="1:7">
      <c r="A261" s="9"/>
      <c r="B261" s="12"/>
      <c r="C261" s="10"/>
      <c r="D261" s="10"/>
      <c r="E261" s="10"/>
      <c r="F261" s="9"/>
      <c r="G261" s="11">
        <f>IF(OR(A261="",B261=""),"",IF(COUNTIFS($A$6:$A$2005,A261,$B$6:$B$2005,B261)&gt;1,"DUPLICATE",""))</f>
        <v/>
      </c>
    </row>
    <row r="262" spans="1:7">
      <c r="A262" s="9"/>
      <c r="B262" s="12"/>
      <c r="C262" s="10"/>
      <c r="D262" s="10"/>
      <c r="E262" s="10"/>
      <c r="F262" s="9"/>
      <c r="G262" s="11">
        <f>IF(OR(A262="",B262=""),"",IF(COUNTIFS($A$6:$A$2005,A262,$B$6:$B$2005,B262)&gt;1,"DUPLICATE",""))</f>
        <v/>
      </c>
    </row>
    <row r="263" spans="1:7">
      <c r="A263" s="9"/>
      <c r="B263" s="12"/>
      <c r="C263" s="10"/>
      <c r="D263" s="10"/>
      <c r="E263" s="10"/>
      <c r="F263" s="9"/>
      <c r="G263" s="11">
        <f>IF(OR(A263="",B263=""),"",IF(COUNTIFS($A$6:$A$2005,A263,$B$6:$B$2005,B263)&gt;1,"DUPLICATE",""))</f>
        <v/>
      </c>
    </row>
    <row r="264" spans="1:7">
      <c r="A264" s="9"/>
      <c r="B264" s="12"/>
      <c r="C264" s="10"/>
      <c r="D264" s="10"/>
      <c r="E264" s="10"/>
      <c r="F264" s="9"/>
      <c r="G264" s="11">
        <f>IF(OR(A264="",B264=""),"",IF(COUNTIFS($A$6:$A$2005,A264,$B$6:$B$2005,B264)&gt;1,"DUPLICATE",""))</f>
        <v/>
      </c>
    </row>
    <row r="265" spans="1:7">
      <c r="A265" s="9"/>
      <c r="B265" s="12"/>
      <c r="C265" s="10"/>
      <c r="D265" s="10"/>
      <c r="E265" s="10"/>
      <c r="F265" s="9"/>
      <c r="G265" s="11">
        <f>IF(OR(A265="",B265=""),"",IF(COUNTIFS($A$6:$A$2005,A265,$B$6:$B$2005,B265)&gt;1,"DUPLICATE",""))</f>
        <v/>
      </c>
    </row>
    <row r="266" spans="1:7">
      <c r="A266" s="9"/>
      <c r="B266" s="12"/>
      <c r="C266" s="10"/>
      <c r="D266" s="10"/>
      <c r="E266" s="10"/>
      <c r="F266" s="9"/>
      <c r="G266" s="11">
        <f>IF(OR(A266="",B266=""),"",IF(COUNTIFS($A$6:$A$2005,A266,$B$6:$B$2005,B266)&gt;1,"DUPLICATE",""))</f>
        <v/>
      </c>
    </row>
    <row r="267" spans="1:7">
      <c r="A267" s="9"/>
      <c r="B267" s="12"/>
      <c r="C267" s="10"/>
      <c r="D267" s="10"/>
      <c r="E267" s="10"/>
      <c r="F267" s="9"/>
      <c r="G267" s="11">
        <f>IF(OR(A267="",B267=""),"",IF(COUNTIFS($A$6:$A$2005,A267,$B$6:$B$2005,B267)&gt;1,"DUPLICATE",""))</f>
        <v/>
      </c>
    </row>
    <row r="268" spans="1:7">
      <c r="A268" s="9"/>
      <c r="B268" s="12"/>
      <c r="C268" s="10"/>
      <c r="D268" s="10"/>
      <c r="E268" s="10"/>
      <c r="F268" s="9"/>
      <c r="G268" s="11">
        <f>IF(OR(A268="",B268=""),"",IF(COUNTIFS($A$6:$A$2005,A268,$B$6:$B$2005,B268)&gt;1,"DUPLICATE",""))</f>
        <v/>
      </c>
    </row>
    <row r="269" spans="1:7">
      <c r="A269" s="9"/>
      <c r="B269" s="12"/>
      <c r="C269" s="10"/>
      <c r="D269" s="10"/>
      <c r="E269" s="10"/>
      <c r="F269" s="9"/>
      <c r="G269" s="11">
        <f>IF(OR(A269="",B269=""),"",IF(COUNTIFS($A$6:$A$2005,A269,$B$6:$B$2005,B269)&gt;1,"DUPLICATE",""))</f>
        <v/>
      </c>
    </row>
    <row r="270" spans="1:7">
      <c r="A270" s="9"/>
      <c r="B270" s="12"/>
      <c r="C270" s="10"/>
      <c r="D270" s="10"/>
      <c r="E270" s="10"/>
      <c r="F270" s="9"/>
      <c r="G270" s="11">
        <f>IF(OR(A270="",B270=""),"",IF(COUNTIFS($A$6:$A$2005,A270,$B$6:$B$2005,B270)&gt;1,"DUPLICATE",""))</f>
        <v/>
      </c>
    </row>
    <row r="271" spans="1:7">
      <c r="A271" s="9"/>
      <c r="B271" s="12"/>
      <c r="C271" s="10"/>
      <c r="D271" s="10"/>
      <c r="E271" s="10"/>
      <c r="F271" s="9"/>
      <c r="G271" s="11">
        <f>IF(OR(A271="",B271=""),"",IF(COUNTIFS($A$6:$A$2005,A271,$B$6:$B$2005,B271)&gt;1,"DUPLICATE",""))</f>
        <v/>
      </c>
    </row>
    <row r="272" spans="1:7">
      <c r="A272" s="9"/>
      <c r="B272" s="12"/>
      <c r="C272" s="10"/>
      <c r="D272" s="10"/>
      <c r="E272" s="10"/>
      <c r="F272" s="9"/>
      <c r="G272" s="11">
        <f>IF(OR(A272="",B272=""),"",IF(COUNTIFS($A$6:$A$2005,A272,$B$6:$B$2005,B272)&gt;1,"DUPLICATE",""))</f>
        <v/>
      </c>
    </row>
    <row r="273" spans="1:7">
      <c r="A273" s="9"/>
      <c r="B273" s="12"/>
      <c r="C273" s="10"/>
      <c r="D273" s="10"/>
      <c r="E273" s="10"/>
      <c r="F273" s="9"/>
      <c r="G273" s="11">
        <f>IF(OR(A273="",B273=""),"",IF(COUNTIFS($A$6:$A$2005,A273,$B$6:$B$2005,B273)&gt;1,"DUPLICATE",""))</f>
        <v/>
      </c>
    </row>
    <row r="274" spans="1:7">
      <c r="A274" s="9"/>
      <c r="B274" s="12"/>
      <c r="C274" s="10"/>
      <c r="D274" s="10"/>
      <c r="E274" s="10"/>
      <c r="F274" s="9"/>
      <c r="G274" s="11">
        <f>IF(OR(A274="",B274=""),"",IF(COUNTIFS($A$6:$A$2005,A274,$B$6:$B$2005,B274)&gt;1,"DUPLICATE",""))</f>
        <v/>
      </c>
    </row>
    <row r="275" spans="1:7">
      <c r="A275" s="9"/>
      <c r="B275" s="12"/>
      <c r="C275" s="10"/>
      <c r="D275" s="10"/>
      <c r="E275" s="10"/>
      <c r="F275" s="9"/>
      <c r="G275" s="11">
        <f>IF(OR(A275="",B275=""),"",IF(COUNTIFS($A$6:$A$2005,A275,$B$6:$B$2005,B275)&gt;1,"DUPLICATE",""))</f>
        <v/>
      </c>
    </row>
    <row r="276" spans="1:7">
      <c r="A276" s="9"/>
      <c r="B276" s="12"/>
      <c r="C276" s="10"/>
      <c r="D276" s="10"/>
      <c r="E276" s="10"/>
      <c r="F276" s="9"/>
      <c r="G276" s="11">
        <f>IF(OR(A276="",B276=""),"",IF(COUNTIFS($A$6:$A$2005,A276,$B$6:$B$2005,B276)&gt;1,"DUPLICATE",""))</f>
        <v/>
      </c>
    </row>
    <row r="277" spans="1:7">
      <c r="A277" s="9"/>
      <c r="B277" s="12"/>
      <c r="C277" s="10"/>
      <c r="D277" s="10"/>
      <c r="E277" s="10"/>
      <c r="F277" s="9"/>
      <c r="G277" s="11">
        <f>IF(OR(A277="",B277=""),"",IF(COUNTIFS($A$6:$A$2005,A277,$B$6:$B$2005,B277)&gt;1,"DUPLICATE",""))</f>
        <v/>
      </c>
    </row>
    <row r="278" spans="1:7">
      <c r="A278" s="9"/>
      <c r="B278" s="12"/>
      <c r="C278" s="10"/>
      <c r="D278" s="10"/>
      <c r="E278" s="10"/>
      <c r="F278" s="9"/>
      <c r="G278" s="11">
        <f>IF(OR(A278="",B278=""),"",IF(COUNTIFS($A$6:$A$2005,A278,$B$6:$B$2005,B278)&gt;1,"DUPLICATE",""))</f>
        <v/>
      </c>
    </row>
    <row r="279" spans="1:7">
      <c r="A279" s="9"/>
      <c r="B279" s="12"/>
      <c r="C279" s="10"/>
      <c r="D279" s="10"/>
      <c r="E279" s="10"/>
      <c r="F279" s="9"/>
      <c r="G279" s="11">
        <f>IF(OR(A279="",B279=""),"",IF(COUNTIFS($A$6:$A$2005,A279,$B$6:$B$2005,B279)&gt;1,"DUPLICATE",""))</f>
        <v/>
      </c>
    </row>
    <row r="280" spans="1:7">
      <c r="A280" s="9"/>
      <c r="B280" s="12"/>
      <c r="C280" s="10"/>
      <c r="D280" s="10"/>
      <c r="E280" s="10"/>
      <c r="F280" s="9"/>
      <c r="G280" s="11">
        <f>IF(OR(A280="",B280=""),"",IF(COUNTIFS($A$6:$A$2005,A280,$B$6:$B$2005,B280)&gt;1,"DUPLICATE",""))</f>
        <v/>
      </c>
    </row>
    <row r="281" spans="1:7">
      <c r="A281" s="9"/>
      <c r="B281" s="12"/>
      <c r="C281" s="10"/>
      <c r="D281" s="10"/>
      <c r="E281" s="10"/>
      <c r="F281" s="9"/>
      <c r="G281" s="11">
        <f>IF(OR(A281="",B281=""),"",IF(COUNTIFS($A$6:$A$2005,A281,$B$6:$B$2005,B281)&gt;1,"DUPLICATE",""))</f>
        <v/>
      </c>
    </row>
    <row r="282" spans="1:7">
      <c r="A282" s="9"/>
      <c r="B282" s="12"/>
      <c r="C282" s="10"/>
      <c r="D282" s="10"/>
      <c r="E282" s="10"/>
      <c r="F282" s="9"/>
      <c r="G282" s="11">
        <f>IF(OR(A282="",B282=""),"",IF(COUNTIFS($A$6:$A$2005,A282,$B$6:$B$2005,B282)&gt;1,"DUPLICATE",""))</f>
        <v/>
      </c>
    </row>
    <row r="283" spans="1:7">
      <c r="A283" s="9"/>
      <c r="B283" s="12"/>
      <c r="C283" s="10"/>
      <c r="D283" s="10"/>
      <c r="E283" s="10"/>
      <c r="F283" s="9"/>
      <c r="G283" s="11">
        <f>IF(OR(A283="",B283=""),"",IF(COUNTIFS($A$6:$A$2005,A283,$B$6:$B$2005,B283)&gt;1,"DUPLICATE",""))</f>
        <v/>
      </c>
    </row>
    <row r="284" spans="1:7">
      <c r="A284" s="9"/>
      <c r="B284" s="12"/>
      <c r="C284" s="10"/>
      <c r="D284" s="10"/>
      <c r="E284" s="10"/>
      <c r="F284" s="9"/>
      <c r="G284" s="11">
        <f>IF(OR(A284="",B284=""),"",IF(COUNTIFS($A$6:$A$2005,A284,$B$6:$B$2005,B284)&gt;1,"DUPLICATE",""))</f>
        <v/>
      </c>
    </row>
    <row r="285" spans="1:7">
      <c r="A285" s="9"/>
      <c r="B285" s="12"/>
      <c r="C285" s="10"/>
      <c r="D285" s="10"/>
      <c r="E285" s="10"/>
      <c r="F285" s="9"/>
      <c r="G285" s="11">
        <f>IF(OR(A285="",B285=""),"",IF(COUNTIFS($A$6:$A$2005,A285,$B$6:$B$2005,B285)&gt;1,"DUPLICATE",""))</f>
        <v/>
      </c>
    </row>
    <row r="286" spans="1:7">
      <c r="A286" s="9"/>
      <c r="B286" s="12"/>
      <c r="C286" s="10"/>
      <c r="D286" s="10"/>
      <c r="E286" s="10"/>
      <c r="F286" s="9"/>
      <c r="G286" s="11">
        <f>IF(OR(A286="",B286=""),"",IF(COUNTIFS($A$6:$A$2005,A286,$B$6:$B$2005,B286)&gt;1,"DUPLICATE",""))</f>
        <v/>
      </c>
    </row>
    <row r="287" spans="1:7">
      <c r="A287" s="9"/>
      <c r="B287" s="12"/>
      <c r="C287" s="10"/>
      <c r="D287" s="10"/>
      <c r="E287" s="10"/>
      <c r="F287" s="9"/>
      <c r="G287" s="11">
        <f>IF(OR(A287="",B287=""),"",IF(COUNTIFS($A$6:$A$2005,A287,$B$6:$B$2005,B287)&gt;1,"DUPLICATE",""))</f>
        <v/>
      </c>
    </row>
    <row r="288" spans="1:7">
      <c r="A288" s="9"/>
      <c r="B288" s="12"/>
      <c r="C288" s="10"/>
      <c r="D288" s="10"/>
      <c r="E288" s="10"/>
      <c r="F288" s="9"/>
      <c r="G288" s="11">
        <f>IF(OR(A288="",B288=""),"",IF(COUNTIFS($A$6:$A$2005,A288,$B$6:$B$2005,B288)&gt;1,"DUPLICATE",""))</f>
        <v/>
      </c>
    </row>
    <row r="289" spans="1:7">
      <c r="A289" s="9"/>
      <c r="B289" s="12"/>
      <c r="C289" s="10"/>
      <c r="D289" s="10"/>
      <c r="E289" s="10"/>
      <c r="F289" s="9"/>
      <c r="G289" s="11">
        <f>IF(OR(A289="",B289=""),"",IF(COUNTIFS($A$6:$A$2005,A289,$B$6:$B$2005,B289)&gt;1,"DUPLICATE",""))</f>
        <v/>
      </c>
    </row>
    <row r="290" spans="1:7">
      <c r="A290" s="9"/>
      <c r="B290" s="12"/>
      <c r="C290" s="10"/>
      <c r="D290" s="10"/>
      <c r="E290" s="10"/>
      <c r="F290" s="9"/>
      <c r="G290" s="11">
        <f>IF(OR(A290="",B290=""),"",IF(COUNTIFS($A$6:$A$2005,A290,$B$6:$B$2005,B290)&gt;1,"DUPLICATE",""))</f>
        <v/>
      </c>
    </row>
    <row r="291" spans="1:7">
      <c r="A291" s="9"/>
      <c r="B291" s="12"/>
      <c r="C291" s="10"/>
      <c r="D291" s="10"/>
      <c r="E291" s="10"/>
      <c r="F291" s="9"/>
      <c r="G291" s="11">
        <f>IF(OR(A291="",B291=""),"",IF(COUNTIFS($A$6:$A$2005,A291,$B$6:$B$2005,B291)&gt;1,"DUPLICATE",""))</f>
        <v/>
      </c>
    </row>
    <row r="292" spans="1:7">
      <c r="A292" s="9"/>
      <c r="B292" s="12"/>
      <c r="C292" s="10"/>
      <c r="D292" s="10"/>
      <c r="E292" s="10"/>
      <c r="F292" s="9"/>
      <c r="G292" s="11">
        <f>IF(OR(A292="",B292=""),"",IF(COUNTIFS($A$6:$A$2005,A292,$B$6:$B$2005,B292)&gt;1,"DUPLICATE",""))</f>
        <v/>
      </c>
    </row>
    <row r="293" spans="1:7">
      <c r="A293" s="9"/>
      <c r="B293" s="12"/>
      <c r="C293" s="10"/>
      <c r="D293" s="10"/>
      <c r="E293" s="10"/>
      <c r="F293" s="9"/>
      <c r="G293" s="11">
        <f>IF(OR(A293="",B293=""),"",IF(COUNTIFS($A$6:$A$2005,A293,$B$6:$B$2005,B293)&gt;1,"DUPLICATE",""))</f>
        <v/>
      </c>
    </row>
    <row r="294" spans="1:7">
      <c r="A294" s="9"/>
      <c r="B294" s="12"/>
      <c r="C294" s="10"/>
      <c r="D294" s="10"/>
      <c r="E294" s="10"/>
      <c r="F294" s="9"/>
      <c r="G294" s="11">
        <f>IF(OR(A294="",B294=""),"",IF(COUNTIFS($A$6:$A$2005,A294,$B$6:$B$2005,B294)&gt;1,"DUPLICATE",""))</f>
        <v/>
      </c>
    </row>
    <row r="295" spans="1:7">
      <c r="A295" s="9"/>
      <c r="B295" s="12"/>
      <c r="C295" s="10"/>
      <c r="D295" s="10"/>
      <c r="E295" s="10"/>
      <c r="F295" s="9"/>
      <c r="G295" s="11">
        <f>IF(OR(A295="",B295=""),"",IF(COUNTIFS($A$6:$A$2005,A295,$B$6:$B$2005,B295)&gt;1,"DUPLICATE",""))</f>
        <v/>
      </c>
    </row>
    <row r="296" spans="1:7">
      <c r="A296" s="9"/>
      <c r="B296" s="12"/>
      <c r="C296" s="10"/>
      <c r="D296" s="10"/>
      <c r="E296" s="10"/>
      <c r="F296" s="9"/>
      <c r="G296" s="11">
        <f>IF(OR(A296="",B296=""),"",IF(COUNTIFS($A$6:$A$2005,A296,$B$6:$B$2005,B296)&gt;1,"DUPLICATE",""))</f>
        <v/>
      </c>
    </row>
    <row r="297" spans="1:7">
      <c r="A297" s="9"/>
      <c r="B297" s="12"/>
      <c r="C297" s="10"/>
      <c r="D297" s="10"/>
      <c r="E297" s="10"/>
      <c r="F297" s="9"/>
      <c r="G297" s="11">
        <f>IF(OR(A297="",B297=""),"",IF(COUNTIFS($A$6:$A$2005,A297,$B$6:$B$2005,B297)&gt;1,"DUPLICATE",""))</f>
        <v/>
      </c>
    </row>
    <row r="298" spans="1:7">
      <c r="A298" s="9"/>
      <c r="B298" s="12"/>
      <c r="C298" s="10"/>
      <c r="D298" s="10"/>
      <c r="E298" s="10"/>
      <c r="F298" s="9"/>
      <c r="G298" s="11">
        <f>IF(OR(A298="",B298=""),"",IF(COUNTIFS($A$6:$A$2005,A298,$B$6:$B$2005,B298)&gt;1,"DUPLICATE",""))</f>
        <v/>
      </c>
    </row>
    <row r="299" spans="1:7">
      <c r="A299" s="9"/>
      <c r="B299" s="12"/>
      <c r="C299" s="10"/>
      <c r="D299" s="10"/>
      <c r="E299" s="10"/>
      <c r="F299" s="9"/>
      <c r="G299" s="11">
        <f>IF(OR(A299="",B299=""),"",IF(COUNTIFS($A$6:$A$2005,A299,$B$6:$B$2005,B299)&gt;1,"DUPLICATE",""))</f>
        <v/>
      </c>
    </row>
    <row r="300" spans="1:7">
      <c r="A300" s="9"/>
      <c r="B300" s="12"/>
      <c r="C300" s="10"/>
      <c r="D300" s="10"/>
      <c r="E300" s="10"/>
      <c r="F300" s="9"/>
      <c r="G300" s="11">
        <f>IF(OR(A300="",B300=""),"",IF(COUNTIFS($A$6:$A$2005,A300,$B$6:$B$2005,B300)&gt;1,"DUPLICATE",""))</f>
        <v/>
      </c>
    </row>
    <row r="301" spans="1:7">
      <c r="A301" s="9"/>
      <c r="B301" s="12"/>
      <c r="C301" s="10"/>
      <c r="D301" s="10"/>
      <c r="E301" s="10"/>
      <c r="F301" s="9"/>
      <c r="G301" s="11">
        <f>IF(OR(A301="",B301=""),"",IF(COUNTIFS($A$6:$A$2005,A301,$B$6:$B$2005,B301)&gt;1,"DUPLICATE",""))</f>
        <v/>
      </c>
    </row>
    <row r="302" spans="1:7">
      <c r="A302" s="9"/>
      <c r="B302" s="12"/>
      <c r="C302" s="10"/>
      <c r="D302" s="10"/>
      <c r="E302" s="10"/>
      <c r="F302" s="9"/>
      <c r="G302" s="11">
        <f>IF(OR(A302="",B302=""),"",IF(COUNTIFS($A$6:$A$2005,A302,$B$6:$B$2005,B302)&gt;1,"DUPLICATE",""))</f>
        <v/>
      </c>
    </row>
    <row r="303" spans="1:7">
      <c r="A303" s="9"/>
      <c r="B303" s="12"/>
      <c r="C303" s="10"/>
      <c r="D303" s="10"/>
      <c r="E303" s="10"/>
      <c r="F303" s="9"/>
      <c r="G303" s="11">
        <f>IF(OR(A303="",B303=""),"",IF(COUNTIFS($A$6:$A$2005,A303,$B$6:$B$2005,B303)&gt;1,"DUPLICATE",""))</f>
        <v/>
      </c>
    </row>
    <row r="304" spans="1:7">
      <c r="A304" s="9"/>
      <c r="B304" s="12"/>
      <c r="C304" s="10"/>
      <c r="D304" s="10"/>
      <c r="E304" s="10"/>
      <c r="F304" s="9"/>
      <c r="G304" s="11">
        <f>IF(OR(A304="",B304=""),"",IF(COUNTIFS($A$6:$A$2005,A304,$B$6:$B$2005,B304)&gt;1,"DUPLICATE",""))</f>
        <v/>
      </c>
    </row>
    <row r="305" spans="1:7">
      <c r="A305" s="9"/>
      <c r="B305" s="12"/>
      <c r="C305" s="10"/>
      <c r="D305" s="10"/>
      <c r="E305" s="10"/>
      <c r="F305" s="9"/>
      <c r="G305" s="11">
        <f>IF(OR(A305="",B305=""),"",IF(COUNTIFS($A$6:$A$2005,A305,$B$6:$B$2005,B305)&gt;1,"DUPLICATE",""))</f>
        <v/>
      </c>
    </row>
    <row r="306" spans="1:7">
      <c r="A306" s="9"/>
      <c r="B306" s="12"/>
      <c r="C306" s="10"/>
      <c r="D306" s="10"/>
      <c r="E306" s="10"/>
      <c r="F306" s="9"/>
      <c r="G306" s="11">
        <f>IF(OR(A306="",B306=""),"",IF(COUNTIFS($A$6:$A$2005,A306,$B$6:$B$2005,B306)&gt;1,"DUPLICATE",""))</f>
        <v/>
      </c>
    </row>
    <row r="307" spans="1:7">
      <c r="A307" s="9"/>
      <c r="B307" s="12"/>
      <c r="C307" s="10"/>
      <c r="D307" s="10"/>
      <c r="E307" s="10"/>
      <c r="F307" s="9"/>
      <c r="G307" s="11">
        <f>IF(OR(A307="",B307=""),"",IF(COUNTIFS($A$6:$A$2005,A307,$B$6:$B$2005,B307)&gt;1,"DUPLICATE",""))</f>
        <v/>
      </c>
    </row>
    <row r="308" spans="1:7">
      <c r="A308" s="9"/>
      <c r="B308" s="12"/>
      <c r="C308" s="10"/>
      <c r="D308" s="10"/>
      <c r="E308" s="10"/>
      <c r="F308" s="9"/>
      <c r="G308" s="11">
        <f>IF(OR(A308="",B308=""),"",IF(COUNTIFS($A$6:$A$2005,A308,$B$6:$B$2005,B308)&gt;1,"DUPLICATE",""))</f>
        <v/>
      </c>
    </row>
    <row r="309" spans="1:7">
      <c r="A309" s="9"/>
      <c r="B309" s="12"/>
      <c r="C309" s="10"/>
      <c r="D309" s="10"/>
      <c r="E309" s="10"/>
      <c r="F309" s="9"/>
      <c r="G309" s="11">
        <f>IF(OR(A309="",B309=""),"",IF(COUNTIFS($A$6:$A$2005,A309,$B$6:$B$2005,B309)&gt;1,"DUPLICATE",""))</f>
        <v/>
      </c>
    </row>
    <row r="310" spans="1:7">
      <c r="A310" s="9"/>
      <c r="B310" s="12"/>
      <c r="C310" s="10"/>
      <c r="D310" s="10"/>
      <c r="E310" s="10"/>
      <c r="F310" s="9"/>
      <c r="G310" s="11">
        <f>IF(OR(A310="",B310=""),"",IF(COUNTIFS($A$6:$A$2005,A310,$B$6:$B$2005,B310)&gt;1,"DUPLICATE",""))</f>
        <v/>
      </c>
    </row>
    <row r="311" spans="1:7">
      <c r="A311" s="9"/>
      <c r="B311" s="12"/>
      <c r="C311" s="10"/>
      <c r="D311" s="10"/>
      <c r="E311" s="10"/>
      <c r="F311" s="9"/>
      <c r="G311" s="11">
        <f>IF(OR(A311="",B311=""),"",IF(COUNTIFS($A$6:$A$2005,A311,$B$6:$B$2005,B311)&gt;1,"DUPLICATE",""))</f>
        <v/>
      </c>
    </row>
    <row r="312" spans="1:7">
      <c r="A312" s="9"/>
      <c r="B312" s="12"/>
      <c r="C312" s="10"/>
      <c r="D312" s="10"/>
      <c r="E312" s="10"/>
      <c r="F312" s="9"/>
      <c r="G312" s="11">
        <f>IF(OR(A312="",B312=""),"",IF(COUNTIFS($A$6:$A$2005,A312,$B$6:$B$2005,B312)&gt;1,"DUPLICATE",""))</f>
        <v/>
      </c>
    </row>
    <row r="313" spans="1:7">
      <c r="A313" s="9"/>
      <c r="B313" s="12"/>
      <c r="C313" s="10"/>
      <c r="D313" s="10"/>
      <c r="E313" s="10"/>
      <c r="F313" s="9"/>
      <c r="G313" s="11">
        <f>IF(OR(A313="",B313=""),"",IF(COUNTIFS($A$6:$A$2005,A313,$B$6:$B$2005,B313)&gt;1,"DUPLICATE",""))</f>
        <v/>
      </c>
    </row>
    <row r="314" spans="1:7">
      <c r="A314" s="9"/>
      <c r="B314" s="12"/>
      <c r="C314" s="10"/>
      <c r="D314" s="10"/>
      <c r="E314" s="10"/>
      <c r="F314" s="9"/>
      <c r="G314" s="11">
        <f>IF(OR(A314="",B314=""),"",IF(COUNTIFS($A$6:$A$2005,A314,$B$6:$B$2005,B314)&gt;1,"DUPLICATE",""))</f>
        <v/>
      </c>
    </row>
    <row r="315" spans="1:7">
      <c r="A315" s="9"/>
      <c r="B315" s="12"/>
      <c r="C315" s="10"/>
      <c r="D315" s="10"/>
      <c r="E315" s="10"/>
      <c r="F315" s="9"/>
      <c r="G315" s="11">
        <f>IF(OR(A315="",B315=""),"",IF(COUNTIFS($A$6:$A$2005,A315,$B$6:$B$2005,B315)&gt;1,"DUPLICATE",""))</f>
        <v/>
      </c>
    </row>
    <row r="316" spans="1:7">
      <c r="A316" s="9"/>
      <c r="B316" s="12"/>
      <c r="C316" s="10"/>
      <c r="D316" s="10"/>
      <c r="E316" s="10"/>
      <c r="F316" s="9"/>
      <c r="G316" s="11">
        <f>IF(OR(A316="",B316=""),"",IF(COUNTIFS($A$6:$A$2005,A316,$B$6:$B$2005,B316)&gt;1,"DUPLICATE",""))</f>
        <v/>
      </c>
    </row>
    <row r="317" spans="1:7">
      <c r="A317" s="9"/>
      <c r="B317" s="12"/>
      <c r="C317" s="10"/>
      <c r="D317" s="10"/>
      <c r="E317" s="10"/>
      <c r="F317" s="9"/>
      <c r="G317" s="11">
        <f>IF(OR(A317="",B317=""),"",IF(COUNTIFS($A$6:$A$2005,A317,$B$6:$B$2005,B317)&gt;1,"DUPLICATE",""))</f>
        <v/>
      </c>
    </row>
    <row r="318" spans="1:7">
      <c r="A318" s="9"/>
      <c r="B318" s="12"/>
      <c r="C318" s="10"/>
      <c r="D318" s="10"/>
      <c r="E318" s="10"/>
      <c r="F318" s="9"/>
      <c r="G318" s="11">
        <f>IF(OR(A318="",B318=""),"",IF(COUNTIFS($A$6:$A$2005,A318,$B$6:$B$2005,B318)&gt;1,"DUPLICATE",""))</f>
        <v/>
      </c>
    </row>
    <row r="319" spans="1:7">
      <c r="A319" s="9"/>
      <c r="B319" s="12"/>
      <c r="C319" s="10"/>
      <c r="D319" s="10"/>
      <c r="E319" s="10"/>
      <c r="F319" s="9"/>
      <c r="G319" s="11">
        <f>IF(OR(A319="",B319=""),"",IF(COUNTIFS($A$6:$A$2005,A319,$B$6:$B$2005,B319)&gt;1,"DUPLICATE",""))</f>
        <v/>
      </c>
    </row>
    <row r="320" spans="1:7">
      <c r="A320" s="9"/>
      <c r="B320" s="12"/>
      <c r="C320" s="10"/>
      <c r="D320" s="10"/>
      <c r="E320" s="10"/>
      <c r="F320" s="9"/>
      <c r="G320" s="11">
        <f>IF(OR(A320="",B320=""),"",IF(COUNTIFS($A$6:$A$2005,A320,$B$6:$B$2005,B320)&gt;1,"DUPLICATE",""))</f>
        <v/>
      </c>
    </row>
    <row r="321" spans="1:7">
      <c r="A321" s="9"/>
      <c r="B321" s="12"/>
      <c r="C321" s="10"/>
      <c r="D321" s="10"/>
      <c r="E321" s="10"/>
      <c r="F321" s="9"/>
      <c r="G321" s="11">
        <f>IF(OR(A321="",B321=""),"",IF(COUNTIFS($A$6:$A$2005,A321,$B$6:$B$2005,B321)&gt;1,"DUPLICATE",""))</f>
        <v/>
      </c>
    </row>
    <row r="322" spans="1:7">
      <c r="A322" s="9"/>
      <c r="B322" s="12"/>
      <c r="C322" s="10"/>
      <c r="D322" s="10"/>
      <c r="E322" s="10"/>
      <c r="F322" s="9"/>
      <c r="G322" s="11">
        <f>IF(OR(A322="",B322=""),"",IF(COUNTIFS($A$6:$A$2005,A322,$B$6:$B$2005,B322)&gt;1,"DUPLICATE",""))</f>
        <v/>
      </c>
    </row>
    <row r="323" spans="1:7">
      <c r="A323" s="9"/>
      <c r="B323" s="12"/>
      <c r="C323" s="10"/>
      <c r="D323" s="10"/>
      <c r="E323" s="10"/>
      <c r="F323" s="9"/>
      <c r="G323" s="11">
        <f>IF(OR(A323="",B323=""),"",IF(COUNTIFS($A$6:$A$2005,A323,$B$6:$B$2005,B323)&gt;1,"DUPLICATE",""))</f>
        <v/>
      </c>
    </row>
    <row r="324" spans="1:7">
      <c r="A324" s="9"/>
      <c r="B324" s="12"/>
      <c r="C324" s="10"/>
      <c r="D324" s="10"/>
      <c r="E324" s="10"/>
      <c r="F324" s="9"/>
      <c r="G324" s="11">
        <f>IF(OR(A324="",B324=""),"",IF(COUNTIFS($A$6:$A$2005,A324,$B$6:$B$2005,B324)&gt;1,"DUPLICATE",""))</f>
        <v/>
      </c>
    </row>
    <row r="325" spans="1:7">
      <c r="A325" s="9"/>
      <c r="B325" s="12"/>
      <c r="C325" s="10"/>
      <c r="D325" s="10"/>
      <c r="E325" s="10"/>
      <c r="F325" s="9"/>
      <c r="G325" s="11">
        <f>IF(OR(A325="",B325=""),"",IF(COUNTIFS($A$6:$A$2005,A325,$B$6:$B$2005,B325)&gt;1,"DUPLICATE",""))</f>
        <v/>
      </c>
    </row>
    <row r="326" spans="1:7">
      <c r="A326" s="9"/>
      <c r="B326" s="12"/>
      <c r="C326" s="10"/>
      <c r="D326" s="10"/>
      <c r="E326" s="10"/>
      <c r="F326" s="9"/>
      <c r="G326" s="11">
        <f>IF(OR(A326="",B326=""),"",IF(COUNTIFS($A$6:$A$2005,A326,$B$6:$B$2005,B326)&gt;1,"DUPLICATE",""))</f>
        <v/>
      </c>
    </row>
    <row r="327" spans="1:7">
      <c r="A327" s="9"/>
      <c r="B327" s="12"/>
      <c r="C327" s="10"/>
      <c r="D327" s="10"/>
      <c r="E327" s="10"/>
      <c r="F327" s="9"/>
      <c r="G327" s="11">
        <f>IF(OR(A327="",B327=""),"",IF(COUNTIFS($A$6:$A$2005,A327,$B$6:$B$2005,B327)&gt;1,"DUPLICATE",""))</f>
        <v/>
      </c>
    </row>
    <row r="328" spans="1:7">
      <c r="A328" s="9"/>
      <c r="B328" s="12"/>
      <c r="C328" s="10"/>
      <c r="D328" s="10"/>
      <c r="E328" s="10"/>
      <c r="F328" s="9"/>
      <c r="G328" s="11">
        <f>IF(OR(A328="",B328=""),"",IF(COUNTIFS($A$6:$A$2005,A328,$B$6:$B$2005,B328)&gt;1,"DUPLICATE",""))</f>
        <v/>
      </c>
    </row>
    <row r="329" spans="1:7">
      <c r="A329" s="9"/>
      <c r="B329" s="12"/>
      <c r="C329" s="10"/>
      <c r="D329" s="10"/>
      <c r="E329" s="10"/>
      <c r="F329" s="9"/>
      <c r="G329" s="11">
        <f>IF(OR(A329="",B329=""),"",IF(COUNTIFS($A$6:$A$2005,A329,$B$6:$B$2005,B329)&gt;1,"DUPLICATE",""))</f>
        <v/>
      </c>
    </row>
    <row r="330" spans="1:7">
      <c r="A330" s="9"/>
      <c r="B330" s="12"/>
      <c r="C330" s="10"/>
      <c r="D330" s="10"/>
      <c r="E330" s="10"/>
      <c r="F330" s="9"/>
      <c r="G330" s="11">
        <f>IF(OR(A330="",B330=""),"",IF(COUNTIFS($A$6:$A$2005,A330,$B$6:$B$2005,B330)&gt;1,"DUPLICATE",""))</f>
        <v/>
      </c>
    </row>
    <row r="331" spans="1:7">
      <c r="A331" s="9"/>
      <c r="B331" s="12"/>
      <c r="C331" s="10"/>
      <c r="D331" s="10"/>
      <c r="E331" s="10"/>
      <c r="F331" s="9"/>
      <c r="G331" s="11">
        <f>IF(OR(A331="",B331=""),"",IF(COUNTIFS($A$6:$A$2005,A331,$B$6:$B$2005,B331)&gt;1,"DUPLICATE",""))</f>
        <v/>
      </c>
    </row>
    <row r="332" spans="1:7">
      <c r="A332" s="9"/>
      <c r="B332" s="12"/>
      <c r="C332" s="10"/>
      <c r="D332" s="10"/>
      <c r="E332" s="10"/>
      <c r="F332" s="9"/>
      <c r="G332" s="11">
        <f>IF(OR(A332="",B332=""),"",IF(COUNTIFS($A$6:$A$2005,A332,$B$6:$B$2005,B332)&gt;1,"DUPLICATE",""))</f>
        <v/>
      </c>
    </row>
    <row r="333" spans="1:7">
      <c r="A333" s="9"/>
      <c r="B333" s="12"/>
      <c r="C333" s="10"/>
      <c r="D333" s="10"/>
      <c r="E333" s="10"/>
      <c r="F333" s="9"/>
      <c r="G333" s="11">
        <f>IF(OR(A333="",B333=""),"",IF(COUNTIFS($A$6:$A$2005,A333,$B$6:$B$2005,B333)&gt;1,"DUPLICATE",""))</f>
        <v/>
      </c>
    </row>
    <row r="334" spans="1:7">
      <c r="A334" s="9"/>
      <c r="B334" s="12"/>
      <c r="C334" s="10"/>
      <c r="D334" s="10"/>
      <c r="E334" s="10"/>
      <c r="F334" s="9"/>
      <c r="G334" s="11">
        <f>IF(OR(A334="",B334=""),"",IF(COUNTIFS($A$6:$A$2005,A334,$B$6:$B$2005,B334)&gt;1,"DUPLICATE",""))</f>
        <v/>
      </c>
    </row>
    <row r="335" spans="1:7">
      <c r="A335" s="9"/>
      <c r="B335" s="12"/>
      <c r="C335" s="10"/>
      <c r="D335" s="10"/>
      <c r="E335" s="10"/>
      <c r="F335" s="9"/>
      <c r="G335" s="11">
        <f>IF(OR(A335="",B335=""),"",IF(COUNTIFS($A$6:$A$2005,A335,$B$6:$B$2005,B335)&gt;1,"DUPLICATE",""))</f>
        <v/>
      </c>
    </row>
    <row r="336" spans="1:7">
      <c r="A336" s="9"/>
      <c r="B336" s="12"/>
      <c r="C336" s="10"/>
      <c r="D336" s="10"/>
      <c r="E336" s="10"/>
      <c r="F336" s="9"/>
      <c r="G336" s="11">
        <f>IF(OR(A336="",B336=""),"",IF(COUNTIFS($A$6:$A$2005,A336,$B$6:$B$2005,B336)&gt;1,"DUPLICATE",""))</f>
        <v/>
      </c>
    </row>
    <row r="337" spans="1:7">
      <c r="A337" s="9"/>
      <c r="B337" s="12"/>
      <c r="C337" s="10"/>
      <c r="D337" s="10"/>
      <c r="E337" s="10"/>
      <c r="F337" s="9"/>
      <c r="G337" s="11">
        <f>IF(OR(A337="",B337=""),"",IF(COUNTIFS($A$6:$A$2005,A337,$B$6:$B$2005,B337)&gt;1,"DUPLICATE",""))</f>
        <v/>
      </c>
    </row>
    <row r="338" spans="1:7">
      <c r="A338" s="9"/>
      <c r="B338" s="12"/>
      <c r="C338" s="10"/>
      <c r="D338" s="10"/>
      <c r="E338" s="10"/>
      <c r="F338" s="9"/>
      <c r="G338" s="11">
        <f>IF(OR(A338="",B338=""),"",IF(COUNTIFS($A$6:$A$2005,A338,$B$6:$B$2005,B338)&gt;1,"DUPLICATE",""))</f>
        <v/>
      </c>
    </row>
    <row r="339" spans="1:7">
      <c r="A339" s="9"/>
      <c r="B339" s="12"/>
      <c r="C339" s="10"/>
      <c r="D339" s="10"/>
      <c r="E339" s="10"/>
      <c r="F339" s="9"/>
      <c r="G339" s="11">
        <f>IF(OR(A339="",B339=""),"",IF(COUNTIFS($A$6:$A$2005,A339,$B$6:$B$2005,B339)&gt;1,"DUPLICATE",""))</f>
        <v/>
      </c>
    </row>
    <row r="340" spans="1:7">
      <c r="A340" s="9"/>
      <c r="B340" s="12"/>
      <c r="C340" s="10"/>
      <c r="D340" s="10"/>
      <c r="E340" s="10"/>
      <c r="F340" s="9"/>
      <c r="G340" s="11">
        <f>IF(OR(A340="",B340=""),"",IF(COUNTIFS($A$6:$A$2005,A340,$B$6:$B$2005,B340)&gt;1,"DUPLICATE",""))</f>
        <v/>
      </c>
    </row>
    <row r="341" spans="1:7">
      <c r="A341" s="9"/>
      <c r="B341" s="12"/>
      <c r="C341" s="10"/>
      <c r="D341" s="10"/>
      <c r="E341" s="10"/>
      <c r="F341" s="9"/>
      <c r="G341" s="11">
        <f>IF(OR(A341="",B341=""),"",IF(COUNTIFS($A$6:$A$2005,A341,$B$6:$B$2005,B341)&gt;1,"DUPLICATE",""))</f>
        <v/>
      </c>
    </row>
    <row r="342" spans="1:7">
      <c r="A342" s="9"/>
      <c r="B342" s="12"/>
      <c r="C342" s="10"/>
      <c r="D342" s="10"/>
      <c r="E342" s="10"/>
      <c r="F342" s="9"/>
      <c r="G342" s="11">
        <f>IF(OR(A342="",B342=""),"",IF(COUNTIFS($A$6:$A$2005,A342,$B$6:$B$2005,B342)&gt;1,"DUPLICATE",""))</f>
        <v/>
      </c>
    </row>
    <row r="343" spans="1:7">
      <c r="A343" s="9"/>
      <c r="B343" s="12"/>
      <c r="C343" s="10"/>
      <c r="D343" s="10"/>
      <c r="E343" s="10"/>
      <c r="F343" s="9"/>
      <c r="G343" s="11">
        <f>IF(OR(A343="",B343=""),"",IF(COUNTIFS($A$6:$A$2005,A343,$B$6:$B$2005,B343)&gt;1,"DUPLICATE",""))</f>
        <v/>
      </c>
    </row>
    <row r="344" spans="1:7">
      <c r="A344" s="9"/>
      <c r="B344" s="12"/>
      <c r="C344" s="10"/>
      <c r="D344" s="10"/>
      <c r="E344" s="10"/>
      <c r="F344" s="9"/>
      <c r="G344" s="11">
        <f>IF(OR(A344="",B344=""),"",IF(COUNTIFS($A$6:$A$2005,A344,$B$6:$B$2005,B344)&gt;1,"DUPLICATE",""))</f>
        <v/>
      </c>
    </row>
    <row r="345" spans="1:7">
      <c r="A345" s="9"/>
      <c r="B345" s="12"/>
      <c r="C345" s="10"/>
      <c r="D345" s="10"/>
      <c r="E345" s="10"/>
      <c r="F345" s="9"/>
      <c r="G345" s="11">
        <f>IF(OR(A345="",B345=""),"",IF(COUNTIFS($A$6:$A$2005,A345,$B$6:$B$2005,B345)&gt;1,"DUPLICATE",""))</f>
        <v/>
      </c>
    </row>
    <row r="346" spans="1:7">
      <c r="A346" s="9"/>
      <c r="B346" s="12"/>
      <c r="C346" s="10"/>
      <c r="D346" s="10"/>
      <c r="E346" s="10"/>
      <c r="F346" s="9"/>
      <c r="G346" s="11">
        <f>IF(OR(A346="",B346=""),"",IF(COUNTIFS($A$6:$A$2005,A346,$B$6:$B$2005,B346)&gt;1,"DUPLICATE",""))</f>
        <v/>
      </c>
    </row>
    <row r="347" spans="1:7">
      <c r="A347" s="9"/>
      <c r="B347" s="12"/>
      <c r="C347" s="10"/>
      <c r="D347" s="10"/>
      <c r="E347" s="10"/>
      <c r="F347" s="9"/>
      <c r="G347" s="11">
        <f>IF(OR(A347="",B347=""),"",IF(COUNTIFS($A$6:$A$2005,A347,$B$6:$B$2005,B347)&gt;1,"DUPLICATE",""))</f>
        <v/>
      </c>
    </row>
    <row r="348" spans="1:7">
      <c r="A348" s="9"/>
      <c r="B348" s="12"/>
      <c r="C348" s="10"/>
      <c r="D348" s="10"/>
      <c r="E348" s="10"/>
      <c r="F348" s="9"/>
      <c r="G348" s="11">
        <f>IF(OR(A348="",B348=""),"",IF(COUNTIFS($A$6:$A$2005,A348,$B$6:$B$2005,B348)&gt;1,"DUPLICATE",""))</f>
        <v/>
      </c>
    </row>
    <row r="349" spans="1:7">
      <c r="A349" s="9"/>
      <c r="B349" s="12"/>
      <c r="C349" s="10"/>
      <c r="D349" s="10"/>
      <c r="E349" s="10"/>
      <c r="F349" s="9"/>
      <c r="G349" s="11">
        <f>IF(OR(A349="",B349=""),"",IF(COUNTIFS($A$6:$A$2005,A349,$B$6:$B$2005,B349)&gt;1,"DUPLICATE",""))</f>
        <v/>
      </c>
    </row>
    <row r="350" spans="1:7">
      <c r="A350" s="9"/>
      <c r="B350" s="12"/>
      <c r="C350" s="10"/>
      <c r="D350" s="10"/>
      <c r="E350" s="10"/>
      <c r="F350" s="9"/>
      <c r="G350" s="11">
        <f>IF(OR(A350="",B350=""),"",IF(COUNTIFS($A$6:$A$2005,A350,$B$6:$B$2005,B350)&gt;1,"DUPLICATE",""))</f>
        <v/>
      </c>
    </row>
    <row r="351" spans="1:7">
      <c r="A351" s="9"/>
      <c r="B351" s="12"/>
      <c r="C351" s="10"/>
      <c r="D351" s="10"/>
      <c r="E351" s="10"/>
      <c r="F351" s="9"/>
      <c r="G351" s="11">
        <f>IF(OR(A351="",B351=""),"",IF(COUNTIFS($A$6:$A$2005,A351,$B$6:$B$2005,B351)&gt;1,"DUPLICATE",""))</f>
        <v/>
      </c>
    </row>
    <row r="352" spans="1:7">
      <c r="A352" s="9"/>
      <c r="B352" s="12"/>
      <c r="C352" s="10"/>
      <c r="D352" s="10"/>
      <c r="E352" s="10"/>
      <c r="F352" s="9"/>
      <c r="G352" s="11">
        <f>IF(OR(A352="",B352=""),"",IF(COUNTIFS($A$6:$A$2005,A352,$B$6:$B$2005,B352)&gt;1,"DUPLICATE",""))</f>
        <v/>
      </c>
    </row>
    <row r="353" spans="1:7">
      <c r="A353" s="9"/>
      <c r="B353" s="12"/>
      <c r="C353" s="10"/>
      <c r="D353" s="10"/>
      <c r="E353" s="10"/>
      <c r="F353" s="9"/>
      <c r="G353" s="11">
        <f>IF(OR(A353="",B353=""),"",IF(COUNTIFS($A$6:$A$2005,A353,$B$6:$B$2005,B353)&gt;1,"DUPLICATE",""))</f>
        <v/>
      </c>
    </row>
    <row r="354" spans="1:7">
      <c r="A354" s="9"/>
      <c r="B354" s="12"/>
      <c r="C354" s="10"/>
      <c r="D354" s="10"/>
      <c r="E354" s="10"/>
      <c r="F354" s="9"/>
      <c r="G354" s="11">
        <f>IF(OR(A354="",B354=""),"",IF(COUNTIFS($A$6:$A$2005,A354,$B$6:$B$2005,B354)&gt;1,"DUPLICATE",""))</f>
        <v/>
      </c>
    </row>
    <row r="355" spans="1:7">
      <c r="A355" s="9"/>
      <c r="B355" s="12"/>
      <c r="C355" s="10"/>
      <c r="D355" s="10"/>
      <c r="E355" s="10"/>
      <c r="F355" s="9"/>
      <c r="G355" s="11">
        <f>IF(OR(A355="",B355=""),"",IF(COUNTIFS($A$6:$A$2005,A355,$B$6:$B$2005,B355)&gt;1,"DUPLICATE",""))</f>
        <v/>
      </c>
    </row>
    <row r="356" spans="1:7">
      <c r="A356" s="9"/>
      <c r="B356" s="12"/>
      <c r="C356" s="10"/>
      <c r="D356" s="10"/>
      <c r="E356" s="10"/>
      <c r="F356" s="9"/>
      <c r="G356" s="11">
        <f>IF(OR(A356="",B356=""),"",IF(COUNTIFS($A$6:$A$2005,A356,$B$6:$B$2005,B356)&gt;1,"DUPLICATE",""))</f>
        <v/>
      </c>
    </row>
    <row r="357" spans="1:7">
      <c r="A357" s="9"/>
      <c r="B357" s="12"/>
      <c r="C357" s="10"/>
      <c r="D357" s="10"/>
      <c r="E357" s="10"/>
      <c r="F357" s="9"/>
      <c r="G357" s="11">
        <f>IF(OR(A357="",B357=""),"",IF(COUNTIFS($A$6:$A$2005,A357,$B$6:$B$2005,B357)&gt;1,"DUPLICATE",""))</f>
        <v/>
      </c>
    </row>
    <row r="358" spans="1:7">
      <c r="A358" s="9"/>
      <c r="B358" s="12"/>
      <c r="C358" s="10"/>
      <c r="D358" s="10"/>
      <c r="E358" s="10"/>
      <c r="F358" s="9"/>
      <c r="G358" s="11">
        <f>IF(OR(A358="",B358=""),"",IF(COUNTIFS($A$6:$A$2005,A358,$B$6:$B$2005,B358)&gt;1,"DUPLICATE",""))</f>
        <v/>
      </c>
    </row>
    <row r="359" spans="1:7">
      <c r="A359" s="9"/>
      <c r="B359" s="12"/>
      <c r="C359" s="10"/>
      <c r="D359" s="10"/>
      <c r="E359" s="10"/>
      <c r="F359" s="9"/>
      <c r="G359" s="11">
        <f>IF(OR(A359="",B359=""),"",IF(COUNTIFS($A$6:$A$2005,A359,$B$6:$B$2005,B359)&gt;1,"DUPLICATE",""))</f>
        <v/>
      </c>
    </row>
    <row r="360" spans="1:7">
      <c r="A360" s="9"/>
      <c r="B360" s="12"/>
      <c r="C360" s="10"/>
      <c r="D360" s="10"/>
      <c r="E360" s="10"/>
      <c r="F360" s="9"/>
      <c r="G360" s="11">
        <f>IF(OR(A360="",B360=""),"",IF(COUNTIFS($A$6:$A$2005,A360,$B$6:$B$2005,B360)&gt;1,"DUPLICATE",""))</f>
        <v/>
      </c>
    </row>
    <row r="361" spans="1:7">
      <c r="A361" s="9"/>
      <c r="B361" s="12"/>
      <c r="C361" s="10"/>
      <c r="D361" s="10"/>
      <c r="E361" s="10"/>
      <c r="F361" s="9"/>
      <c r="G361" s="11">
        <f>IF(OR(A361="",B361=""),"",IF(COUNTIFS($A$6:$A$2005,A361,$B$6:$B$2005,B361)&gt;1,"DUPLICATE",""))</f>
        <v/>
      </c>
    </row>
    <row r="362" spans="1:7">
      <c r="A362" s="9"/>
      <c r="B362" s="12"/>
      <c r="C362" s="10"/>
      <c r="D362" s="10"/>
      <c r="E362" s="10"/>
      <c r="F362" s="9"/>
      <c r="G362" s="11">
        <f>IF(OR(A362="",B362=""),"",IF(COUNTIFS($A$6:$A$2005,A362,$B$6:$B$2005,B362)&gt;1,"DUPLICATE",""))</f>
        <v/>
      </c>
    </row>
    <row r="363" spans="1:7">
      <c r="A363" s="9"/>
      <c r="B363" s="12"/>
      <c r="C363" s="10"/>
      <c r="D363" s="10"/>
      <c r="E363" s="10"/>
      <c r="F363" s="9"/>
      <c r="G363" s="11">
        <f>IF(OR(A363="",B363=""),"",IF(COUNTIFS($A$6:$A$2005,A363,$B$6:$B$2005,B363)&gt;1,"DUPLICATE",""))</f>
        <v/>
      </c>
    </row>
    <row r="364" spans="1:7">
      <c r="A364" s="9"/>
      <c r="B364" s="12"/>
      <c r="C364" s="10"/>
      <c r="D364" s="10"/>
      <c r="E364" s="10"/>
      <c r="F364" s="9"/>
      <c r="G364" s="11">
        <f>IF(OR(A364="",B364=""),"",IF(COUNTIFS($A$6:$A$2005,A364,$B$6:$B$2005,B364)&gt;1,"DUPLICATE",""))</f>
        <v/>
      </c>
    </row>
    <row r="365" spans="1:7">
      <c r="A365" s="9"/>
      <c r="B365" s="12"/>
      <c r="C365" s="10"/>
      <c r="D365" s="10"/>
      <c r="E365" s="10"/>
      <c r="F365" s="9"/>
      <c r="G365" s="11">
        <f>IF(OR(A365="",B365=""),"",IF(COUNTIFS($A$6:$A$2005,A365,$B$6:$B$2005,B365)&gt;1,"DUPLICATE",""))</f>
        <v/>
      </c>
    </row>
    <row r="366" spans="1:7">
      <c r="A366" s="9"/>
      <c r="B366" s="12"/>
      <c r="C366" s="10"/>
      <c r="D366" s="10"/>
      <c r="E366" s="10"/>
      <c r="F366" s="9"/>
      <c r="G366" s="11">
        <f>IF(OR(A366="",B366=""),"",IF(COUNTIFS($A$6:$A$2005,A366,$B$6:$B$2005,B366)&gt;1,"DUPLICATE",""))</f>
        <v/>
      </c>
    </row>
    <row r="367" spans="1:7">
      <c r="A367" s="9"/>
      <c r="B367" s="12"/>
      <c r="C367" s="10"/>
      <c r="D367" s="10"/>
      <c r="E367" s="10"/>
      <c r="F367" s="9"/>
      <c r="G367" s="11">
        <f>IF(OR(A367="",B367=""),"",IF(COUNTIFS($A$6:$A$2005,A367,$B$6:$B$2005,B367)&gt;1,"DUPLICATE",""))</f>
        <v/>
      </c>
    </row>
    <row r="368" spans="1:7">
      <c r="A368" s="9"/>
      <c r="B368" s="12"/>
      <c r="C368" s="10"/>
      <c r="D368" s="10"/>
      <c r="E368" s="10"/>
      <c r="F368" s="9"/>
      <c r="G368" s="11">
        <f>IF(OR(A368="",B368=""),"",IF(COUNTIFS($A$6:$A$2005,A368,$B$6:$B$2005,B368)&gt;1,"DUPLICATE",""))</f>
        <v/>
      </c>
    </row>
    <row r="369" spans="1:7">
      <c r="A369" s="9"/>
      <c r="B369" s="12"/>
      <c r="C369" s="10"/>
      <c r="D369" s="10"/>
      <c r="E369" s="10"/>
      <c r="F369" s="9"/>
      <c r="G369" s="11">
        <f>IF(OR(A369="",B369=""),"",IF(COUNTIFS($A$6:$A$2005,A369,$B$6:$B$2005,B369)&gt;1,"DUPLICATE",""))</f>
        <v/>
      </c>
    </row>
    <row r="370" spans="1:7">
      <c r="A370" s="9"/>
      <c r="B370" s="12"/>
      <c r="C370" s="10"/>
      <c r="D370" s="10"/>
      <c r="E370" s="10"/>
      <c r="F370" s="9"/>
      <c r="G370" s="11">
        <f>IF(OR(A370="",B370=""),"",IF(COUNTIFS($A$6:$A$2005,A370,$B$6:$B$2005,B370)&gt;1,"DUPLICATE",""))</f>
        <v/>
      </c>
    </row>
    <row r="371" spans="1:7">
      <c r="A371" s="9"/>
      <c r="B371" s="12"/>
      <c r="C371" s="10"/>
      <c r="D371" s="10"/>
      <c r="E371" s="10"/>
      <c r="F371" s="9"/>
      <c r="G371" s="11">
        <f>IF(OR(A371="",B371=""),"",IF(COUNTIFS($A$6:$A$2005,A371,$B$6:$B$2005,B371)&gt;1,"DUPLICATE",""))</f>
        <v/>
      </c>
    </row>
    <row r="372" spans="1:7">
      <c r="A372" s="9"/>
      <c r="B372" s="12"/>
      <c r="C372" s="10"/>
      <c r="D372" s="10"/>
      <c r="E372" s="10"/>
      <c r="F372" s="9"/>
      <c r="G372" s="11">
        <f>IF(OR(A372="",B372=""),"",IF(COUNTIFS($A$6:$A$2005,A372,$B$6:$B$2005,B372)&gt;1,"DUPLICATE",""))</f>
        <v/>
      </c>
    </row>
    <row r="373" spans="1:7">
      <c r="A373" s="9"/>
      <c r="B373" s="12"/>
      <c r="C373" s="10"/>
      <c r="D373" s="10"/>
      <c r="E373" s="10"/>
      <c r="F373" s="9"/>
      <c r="G373" s="11">
        <f>IF(OR(A373="",B373=""),"",IF(COUNTIFS($A$6:$A$2005,A373,$B$6:$B$2005,B373)&gt;1,"DUPLICATE",""))</f>
        <v/>
      </c>
    </row>
    <row r="374" spans="1:7">
      <c r="A374" s="9"/>
      <c r="B374" s="12"/>
      <c r="C374" s="10"/>
      <c r="D374" s="10"/>
      <c r="E374" s="10"/>
      <c r="F374" s="9"/>
      <c r="G374" s="11">
        <f>IF(OR(A374="",B374=""),"",IF(COUNTIFS($A$6:$A$2005,A374,$B$6:$B$2005,B374)&gt;1,"DUPLICATE",""))</f>
        <v/>
      </c>
    </row>
    <row r="375" spans="1:7">
      <c r="A375" s="9"/>
      <c r="B375" s="12"/>
      <c r="C375" s="10"/>
      <c r="D375" s="10"/>
      <c r="E375" s="10"/>
      <c r="F375" s="9"/>
      <c r="G375" s="11">
        <f>IF(OR(A375="",B375=""),"",IF(COUNTIFS($A$6:$A$2005,A375,$B$6:$B$2005,B375)&gt;1,"DUPLICATE",""))</f>
        <v/>
      </c>
    </row>
    <row r="376" spans="1:7">
      <c r="A376" s="9"/>
      <c r="B376" s="12"/>
      <c r="C376" s="10"/>
      <c r="D376" s="10"/>
      <c r="E376" s="10"/>
      <c r="F376" s="9"/>
      <c r="G376" s="11">
        <f>IF(OR(A376="",B376=""),"",IF(COUNTIFS($A$6:$A$2005,A376,$B$6:$B$2005,B376)&gt;1,"DUPLICATE",""))</f>
        <v/>
      </c>
    </row>
    <row r="377" spans="1:7">
      <c r="A377" s="9"/>
      <c r="B377" s="12"/>
      <c r="C377" s="10"/>
      <c r="D377" s="10"/>
      <c r="E377" s="10"/>
      <c r="F377" s="9"/>
      <c r="G377" s="11">
        <f>IF(OR(A377="",B377=""),"",IF(COUNTIFS($A$6:$A$2005,A377,$B$6:$B$2005,B377)&gt;1,"DUPLICATE",""))</f>
        <v/>
      </c>
    </row>
    <row r="378" spans="1:7">
      <c r="A378" s="9"/>
      <c r="B378" s="12"/>
      <c r="C378" s="10"/>
      <c r="D378" s="10"/>
      <c r="E378" s="10"/>
      <c r="F378" s="9"/>
      <c r="G378" s="11">
        <f>IF(OR(A378="",B378=""),"",IF(COUNTIFS($A$6:$A$2005,A378,$B$6:$B$2005,B378)&gt;1,"DUPLICATE",""))</f>
        <v/>
      </c>
    </row>
    <row r="379" spans="1:7">
      <c r="A379" s="9"/>
      <c r="B379" s="12"/>
      <c r="C379" s="10"/>
      <c r="D379" s="10"/>
      <c r="E379" s="10"/>
      <c r="F379" s="9"/>
      <c r="G379" s="11">
        <f>IF(OR(A379="",B379=""),"",IF(COUNTIFS($A$6:$A$2005,A379,$B$6:$B$2005,B379)&gt;1,"DUPLICATE",""))</f>
        <v/>
      </c>
    </row>
    <row r="380" spans="1:7">
      <c r="A380" s="9"/>
      <c r="B380" s="12"/>
      <c r="C380" s="10"/>
      <c r="D380" s="10"/>
      <c r="E380" s="10"/>
      <c r="F380" s="9"/>
      <c r="G380" s="11">
        <f>IF(OR(A380="",B380=""),"",IF(COUNTIFS($A$6:$A$2005,A380,$B$6:$B$2005,B380)&gt;1,"DUPLICATE",""))</f>
        <v/>
      </c>
    </row>
    <row r="381" spans="1:7">
      <c r="A381" s="9"/>
      <c r="B381" s="12"/>
      <c r="C381" s="10"/>
      <c r="D381" s="10"/>
      <c r="E381" s="10"/>
      <c r="F381" s="9"/>
      <c r="G381" s="11">
        <f>IF(OR(A381="",B381=""),"",IF(COUNTIFS($A$6:$A$2005,A381,$B$6:$B$2005,B381)&gt;1,"DUPLICATE",""))</f>
        <v/>
      </c>
    </row>
    <row r="382" spans="1:7">
      <c r="A382" s="9"/>
      <c r="B382" s="12"/>
      <c r="C382" s="10"/>
      <c r="D382" s="10"/>
      <c r="E382" s="10"/>
      <c r="F382" s="9"/>
      <c r="G382" s="11">
        <f>IF(OR(A382="",B382=""),"",IF(COUNTIFS($A$6:$A$2005,A382,$B$6:$B$2005,B382)&gt;1,"DUPLICATE",""))</f>
        <v/>
      </c>
    </row>
    <row r="383" spans="1:7">
      <c r="A383" s="9"/>
      <c r="B383" s="12"/>
      <c r="C383" s="10"/>
      <c r="D383" s="10"/>
      <c r="E383" s="10"/>
      <c r="F383" s="9"/>
      <c r="G383" s="11">
        <f>IF(OR(A383="",B383=""),"",IF(COUNTIFS($A$6:$A$2005,A383,$B$6:$B$2005,B383)&gt;1,"DUPLICATE",""))</f>
        <v/>
      </c>
    </row>
    <row r="384" spans="1:7">
      <c r="A384" s="9"/>
      <c r="B384" s="12"/>
      <c r="C384" s="10"/>
      <c r="D384" s="10"/>
      <c r="E384" s="10"/>
      <c r="F384" s="9"/>
      <c r="G384" s="11">
        <f>IF(OR(A384="",B384=""),"",IF(COUNTIFS($A$6:$A$2005,A384,$B$6:$B$2005,B384)&gt;1,"DUPLICATE",""))</f>
        <v/>
      </c>
    </row>
    <row r="385" spans="1:7">
      <c r="A385" s="9"/>
      <c r="B385" s="12"/>
      <c r="C385" s="10"/>
      <c r="D385" s="10"/>
      <c r="E385" s="10"/>
      <c r="F385" s="9"/>
      <c r="G385" s="11">
        <f>IF(OR(A385="",B385=""),"",IF(COUNTIFS($A$6:$A$2005,A385,$B$6:$B$2005,B385)&gt;1,"DUPLICATE",""))</f>
        <v/>
      </c>
    </row>
    <row r="386" spans="1:7">
      <c r="A386" s="9"/>
      <c r="B386" s="12"/>
      <c r="C386" s="10"/>
      <c r="D386" s="10"/>
      <c r="E386" s="10"/>
      <c r="F386" s="9"/>
      <c r="G386" s="11">
        <f>IF(OR(A386="",B386=""),"",IF(COUNTIFS($A$6:$A$2005,A386,$B$6:$B$2005,B386)&gt;1,"DUPLICATE",""))</f>
        <v/>
      </c>
    </row>
    <row r="387" spans="1:7">
      <c r="A387" s="9"/>
      <c r="B387" s="12"/>
      <c r="C387" s="10"/>
      <c r="D387" s="10"/>
      <c r="E387" s="10"/>
      <c r="F387" s="9"/>
      <c r="G387" s="11">
        <f>IF(OR(A387="",B387=""),"",IF(COUNTIFS($A$6:$A$2005,A387,$B$6:$B$2005,B387)&gt;1,"DUPLICATE",""))</f>
        <v/>
      </c>
    </row>
    <row r="388" spans="1:7">
      <c r="A388" s="9"/>
      <c r="B388" s="12"/>
      <c r="C388" s="10"/>
      <c r="D388" s="10"/>
      <c r="E388" s="10"/>
      <c r="F388" s="9"/>
      <c r="G388" s="11">
        <f>IF(OR(A388="",B388=""),"",IF(COUNTIFS($A$6:$A$2005,A388,$B$6:$B$2005,B388)&gt;1,"DUPLICATE",""))</f>
        <v/>
      </c>
    </row>
    <row r="389" spans="1:7">
      <c r="A389" s="9"/>
      <c r="B389" s="12"/>
      <c r="C389" s="10"/>
      <c r="D389" s="10"/>
      <c r="E389" s="10"/>
      <c r="F389" s="9"/>
      <c r="G389" s="11">
        <f>IF(OR(A389="",B389=""),"",IF(COUNTIFS($A$6:$A$2005,A389,$B$6:$B$2005,B389)&gt;1,"DUPLICATE",""))</f>
        <v/>
      </c>
    </row>
    <row r="390" spans="1:7">
      <c r="A390" s="9"/>
      <c r="B390" s="12"/>
      <c r="C390" s="10"/>
      <c r="D390" s="10"/>
      <c r="E390" s="10"/>
      <c r="F390" s="9"/>
      <c r="G390" s="11">
        <f>IF(OR(A390="",B390=""),"",IF(COUNTIFS($A$6:$A$2005,A390,$B$6:$B$2005,B390)&gt;1,"DUPLICATE",""))</f>
        <v/>
      </c>
    </row>
    <row r="391" spans="1:7">
      <c r="A391" s="9"/>
      <c r="B391" s="12"/>
      <c r="C391" s="10"/>
      <c r="D391" s="10"/>
      <c r="E391" s="10"/>
      <c r="F391" s="9"/>
      <c r="G391" s="11">
        <f>IF(OR(A391="",B391=""),"",IF(COUNTIFS($A$6:$A$2005,A391,$B$6:$B$2005,B391)&gt;1,"DUPLICATE",""))</f>
        <v/>
      </c>
    </row>
    <row r="392" spans="1:7">
      <c r="A392" s="9"/>
      <c r="B392" s="12"/>
      <c r="C392" s="10"/>
      <c r="D392" s="10"/>
      <c r="E392" s="10"/>
      <c r="F392" s="9"/>
      <c r="G392" s="11">
        <f>IF(OR(A392="",B392=""),"",IF(COUNTIFS($A$6:$A$2005,A392,$B$6:$B$2005,B392)&gt;1,"DUPLICATE",""))</f>
        <v/>
      </c>
    </row>
    <row r="393" spans="1:7">
      <c r="A393" s="9"/>
      <c r="B393" s="12"/>
      <c r="C393" s="10"/>
      <c r="D393" s="10"/>
      <c r="E393" s="10"/>
      <c r="F393" s="9"/>
      <c r="G393" s="11">
        <f>IF(OR(A393="",B393=""),"",IF(COUNTIFS($A$6:$A$2005,A393,$B$6:$B$2005,B393)&gt;1,"DUPLICATE",""))</f>
        <v/>
      </c>
    </row>
    <row r="394" spans="1:7">
      <c r="A394" s="9"/>
      <c r="B394" s="12"/>
      <c r="C394" s="10"/>
      <c r="D394" s="10"/>
      <c r="E394" s="10"/>
      <c r="F394" s="9"/>
      <c r="G394" s="11">
        <f>IF(OR(A394="",B394=""),"",IF(COUNTIFS($A$6:$A$2005,A394,$B$6:$B$2005,B394)&gt;1,"DUPLICATE",""))</f>
        <v/>
      </c>
    </row>
    <row r="395" spans="1:7">
      <c r="A395" s="9"/>
      <c r="B395" s="12"/>
      <c r="C395" s="10"/>
      <c r="D395" s="10"/>
      <c r="E395" s="10"/>
      <c r="F395" s="9"/>
      <c r="G395" s="11">
        <f>IF(OR(A395="",B395=""),"",IF(COUNTIFS($A$6:$A$2005,A395,$B$6:$B$2005,B395)&gt;1,"DUPLICATE",""))</f>
        <v/>
      </c>
    </row>
    <row r="396" spans="1:7">
      <c r="A396" s="9"/>
      <c r="B396" s="12"/>
      <c r="C396" s="10"/>
      <c r="D396" s="10"/>
      <c r="E396" s="10"/>
      <c r="F396" s="9"/>
      <c r="G396" s="11">
        <f>IF(OR(A396="",B396=""),"",IF(COUNTIFS($A$6:$A$2005,A396,$B$6:$B$2005,B396)&gt;1,"DUPLICATE",""))</f>
        <v/>
      </c>
    </row>
    <row r="397" spans="1:7">
      <c r="A397" s="9"/>
      <c r="B397" s="12"/>
      <c r="C397" s="10"/>
      <c r="D397" s="10"/>
      <c r="E397" s="10"/>
      <c r="F397" s="9"/>
      <c r="G397" s="11">
        <f>IF(OR(A397="",B397=""),"",IF(COUNTIFS($A$6:$A$2005,A397,$B$6:$B$2005,B397)&gt;1,"DUPLICATE",""))</f>
        <v/>
      </c>
    </row>
    <row r="398" spans="1:7">
      <c r="A398" s="9"/>
      <c r="B398" s="12"/>
      <c r="C398" s="10"/>
      <c r="D398" s="10"/>
      <c r="E398" s="10"/>
      <c r="F398" s="9"/>
      <c r="G398" s="11">
        <f>IF(OR(A398="",B398=""),"",IF(COUNTIFS($A$6:$A$2005,A398,$B$6:$B$2005,B398)&gt;1,"DUPLICATE",""))</f>
        <v/>
      </c>
    </row>
    <row r="399" spans="1:7">
      <c r="A399" s="9"/>
      <c r="B399" s="12"/>
      <c r="C399" s="10"/>
      <c r="D399" s="10"/>
      <c r="E399" s="10"/>
      <c r="F399" s="9"/>
      <c r="G399" s="11">
        <f>IF(OR(A399="",B399=""),"",IF(COUNTIFS($A$6:$A$2005,A399,$B$6:$B$2005,B399)&gt;1,"DUPLICATE",""))</f>
        <v/>
      </c>
    </row>
    <row r="400" spans="1:7">
      <c r="A400" s="9"/>
      <c r="B400" s="12"/>
      <c r="C400" s="10"/>
      <c r="D400" s="10"/>
      <c r="E400" s="10"/>
      <c r="F400" s="9"/>
      <c r="G400" s="11">
        <f>IF(OR(A400="",B400=""),"",IF(COUNTIFS($A$6:$A$2005,A400,$B$6:$B$2005,B400)&gt;1,"DUPLICATE",""))</f>
        <v/>
      </c>
    </row>
    <row r="401" spans="1:7">
      <c r="A401" s="9"/>
      <c r="B401" s="12"/>
      <c r="C401" s="10"/>
      <c r="D401" s="10"/>
      <c r="E401" s="10"/>
      <c r="F401" s="9"/>
      <c r="G401" s="11">
        <f>IF(OR(A401="",B401=""),"",IF(COUNTIFS($A$6:$A$2005,A401,$B$6:$B$2005,B401)&gt;1,"DUPLICATE",""))</f>
        <v/>
      </c>
    </row>
    <row r="402" spans="1:7">
      <c r="A402" s="9"/>
      <c r="B402" s="12"/>
      <c r="C402" s="10"/>
      <c r="D402" s="10"/>
      <c r="E402" s="10"/>
      <c r="F402" s="9"/>
      <c r="G402" s="11">
        <f>IF(OR(A402="",B402=""),"",IF(COUNTIFS($A$6:$A$2005,A402,$B$6:$B$2005,B402)&gt;1,"DUPLICATE",""))</f>
        <v/>
      </c>
    </row>
    <row r="403" spans="1:7">
      <c r="A403" s="9"/>
      <c r="B403" s="12"/>
      <c r="C403" s="10"/>
      <c r="D403" s="10"/>
      <c r="E403" s="10"/>
      <c r="F403" s="9"/>
      <c r="G403" s="11">
        <f>IF(OR(A403="",B403=""),"",IF(COUNTIFS($A$6:$A$2005,A403,$B$6:$B$2005,B403)&gt;1,"DUPLICATE",""))</f>
        <v/>
      </c>
    </row>
    <row r="404" spans="1:7">
      <c r="A404" s="9"/>
      <c r="B404" s="12"/>
      <c r="C404" s="10"/>
      <c r="D404" s="10"/>
      <c r="E404" s="10"/>
      <c r="F404" s="9"/>
      <c r="G404" s="11">
        <f>IF(OR(A404="",B404=""),"",IF(COUNTIFS($A$6:$A$2005,A404,$B$6:$B$2005,B404)&gt;1,"DUPLICATE",""))</f>
        <v/>
      </c>
    </row>
    <row r="405" spans="1:7">
      <c r="A405" s="9"/>
      <c r="B405" s="12"/>
      <c r="C405" s="10"/>
      <c r="D405" s="10"/>
      <c r="E405" s="10"/>
      <c r="F405" s="9"/>
      <c r="G405" s="11">
        <f>IF(OR(A405="",B405=""),"",IF(COUNTIFS($A$6:$A$2005,A405,$B$6:$B$2005,B405)&gt;1,"DUPLICATE",""))</f>
        <v/>
      </c>
    </row>
    <row r="406" spans="1:7">
      <c r="A406" s="9"/>
      <c r="B406" s="12"/>
      <c r="C406" s="10"/>
      <c r="D406" s="10"/>
      <c r="E406" s="10"/>
      <c r="F406" s="9"/>
      <c r="G406" s="11">
        <f>IF(OR(A406="",B406=""),"",IF(COUNTIFS($A$6:$A$2005,A406,$B$6:$B$2005,B406)&gt;1,"DUPLICATE",""))</f>
        <v/>
      </c>
    </row>
    <row r="407" spans="1:7">
      <c r="A407" s="9"/>
      <c r="B407" s="12"/>
      <c r="C407" s="10"/>
      <c r="D407" s="10"/>
      <c r="E407" s="10"/>
      <c r="F407" s="9"/>
      <c r="G407" s="11">
        <f>IF(OR(A407="",B407=""),"",IF(COUNTIFS($A$6:$A$2005,A407,$B$6:$B$2005,B407)&gt;1,"DUPLICATE",""))</f>
        <v/>
      </c>
    </row>
    <row r="408" spans="1:7">
      <c r="A408" s="9"/>
      <c r="B408" s="12"/>
      <c r="C408" s="10"/>
      <c r="D408" s="10"/>
      <c r="E408" s="10"/>
      <c r="F408" s="9"/>
      <c r="G408" s="11">
        <f>IF(OR(A408="",B408=""),"",IF(COUNTIFS($A$6:$A$2005,A408,$B$6:$B$2005,B408)&gt;1,"DUPLICATE",""))</f>
        <v/>
      </c>
    </row>
    <row r="409" spans="1:7">
      <c r="A409" s="9"/>
      <c r="B409" s="12"/>
      <c r="C409" s="10"/>
      <c r="D409" s="10"/>
      <c r="E409" s="10"/>
      <c r="F409" s="9"/>
      <c r="G409" s="11">
        <f>IF(OR(A409="",B409=""),"",IF(COUNTIFS($A$6:$A$2005,A409,$B$6:$B$2005,B409)&gt;1,"DUPLICATE",""))</f>
        <v/>
      </c>
    </row>
    <row r="410" spans="1:7">
      <c r="A410" s="9"/>
      <c r="B410" s="12"/>
      <c r="C410" s="10"/>
      <c r="D410" s="10"/>
      <c r="E410" s="10"/>
      <c r="F410" s="9"/>
      <c r="G410" s="11">
        <f>IF(OR(A410="",B410=""),"",IF(COUNTIFS($A$6:$A$2005,A410,$B$6:$B$2005,B410)&gt;1,"DUPLICATE",""))</f>
        <v/>
      </c>
    </row>
    <row r="411" spans="1:7">
      <c r="A411" s="9"/>
      <c r="B411" s="12"/>
      <c r="C411" s="10"/>
      <c r="D411" s="10"/>
      <c r="E411" s="10"/>
      <c r="F411" s="9"/>
      <c r="G411" s="11">
        <f>IF(OR(A411="",B411=""),"",IF(COUNTIFS($A$6:$A$2005,A411,$B$6:$B$2005,B411)&gt;1,"DUPLICATE",""))</f>
        <v/>
      </c>
    </row>
    <row r="412" spans="1:7">
      <c r="A412" s="9"/>
      <c r="B412" s="12"/>
      <c r="C412" s="10"/>
      <c r="D412" s="10"/>
      <c r="E412" s="10"/>
      <c r="F412" s="9"/>
      <c r="G412" s="11">
        <f>IF(OR(A412="",B412=""),"",IF(COUNTIFS($A$6:$A$2005,A412,$B$6:$B$2005,B412)&gt;1,"DUPLICATE",""))</f>
        <v/>
      </c>
    </row>
    <row r="413" spans="1:7">
      <c r="A413" s="9"/>
      <c r="B413" s="12"/>
      <c r="C413" s="10"/>
      <c r="D413" s="10"/>
      <c r="E413" s="10"/>
      <c r="F413" s="9"/>
      <c r="G413" s="11">
        <f>IF(OR(A413="",B413=""),"",IF(COUNTIFS($A$6:$A$2005,A413,$B$6:$B$2005,B413)&gt;1,"DUPLICATE",""))</f>
        <v/>
      </c>
    </row>
    <row r="414" spans="1:7">
      <c r="A414" s="9"/>
      <c r="B414" s="12"/>
      <c r="C414" s="10"/>
      <c r="D414" s="10"/>
      <c r="E414" s="10"/>
      <c r="F414" s="9"/>
      <c r="G414" s="11">
        <f>IF(OR(A414="",B414=""),"",IF(COUNTIFS($A$6:$A$2005,A414,$B$6:$B$2005,B414)&gt;1,"DUPLICATE",""))</f>
        <v/>
      </c>
    </row>
    <row r="415" spans="1:7">
      <c r="A415" s="9"/>
      <c r="B415" s="12"/>
      <c r="C415" s="10"/>
      <c r="D415" s="10"/>
      <c r="E415" s="10"/>
      <c r="F415" s="9"/>
      <c r="G415" s="11">
        <f>IF(OR(A415="",B415=""),"",IF(COUNTIFS($A$6:$A$2005,A415,$B$6:$B$2005,B415)&gt;1,"DUPLICATE",""))</f>
        <v/>
      </c>
    </row>
    <row r="416" spans="1:7">
      <c r="A416" s="9"/>
      <c r="B416" s="12"/>
      <c r="C416" s="10"/>
      <c r="D416" s="10"/>
      <c r="E416" s="10"/>
      <c r="F416" s="9"/>
      <c r="G416" s="11">
        <f>IF(OR(A416="",B416=""),"",IF(COUNTIFS($A$6:$A$2005,A416,$B$6:$B$2005,B416)&gt;1,"DUPLICATE",""))</f>
        <v/>
      </c>
    </row>
    <row r="417" spans="1:7">
      <c r="A417" s="9"/>
      <c r="B417" s="12"/>
      <c r="C417" s="10"/>
      <c r="D417" s="10"/>
      <c r="E417" s="10"/>
      <c r="F417" s="9"/>
      <c r="G417" s="11">
        <f>IF(OR(A417="",B417=""),"",IF(COUNTIFS($A$6:$A$2005,A417,$B$6:$B$2005,B417)&gt;1,"DUPLICATE",""))</f>
        <v/>
      </c>
    </row>
    <row r="418" spans="1:7">
      <c r="A418" s="9"/>
      <c r="B418" s="12"/>
      <c r="C418" s="10"/>
      <c r="D418" s="10"/>
      <c r="E418" s="10"/>
      <c r="F418" s="9"/>
      <c r="G418" s="11">
        <f>IF(OR(A418="",B418=""),"",IF(COUNTIFS($A$6:$A$2005,A418,$B$6:$B$2005,B418)&gt;1,"DUPLICATE",""))</f>
        <v/>
      </c>
    </row>
    <row r="419" spans="1:7">
      <c r="A419" s="9"/>
      <c r="B419" s="12"/>
      <c r="C419" s="10"/>
      <c r="D419" s="10"/>
      <c r="E419" s="10"/>
      <c r="F419" s="9"/>
      <c r="G419" s="11">
        <f>IF(OR(A419="",B419=""),"",IF(COUNTIFS($A$6:$A$2005,A419,$B$6:$B$2005,B419)&gt;1,"DUPLICATE",""))</f>
        <v/>
      </c>
    </row>
    <row r="420" spans="1:7">
      <c r="A420" s="9"/>
      <c r="B420" s="12"/>
      <c r="C420" s="10"/>
      <c r="D420" s="10"/>
      <c r="E420" s="10"/>
      <c r="F420" s="9"/>
      <c r="G420" s="11">
        <f>IF(OR(A420="",B420=""),"",IF(COUNTIFS($A$6:$A$2005,A420,$B$6:$B$2005,B420)&gt;1,"DUPLICATE",""))</f>
        <v/>
      </c>
    </row>
    <row r="421" spans="1:7">
      <c r="A421" s="9"/>
      <c r="B421" s="12"/>
      <c r="C421" s="10"/>
      <c r="D421" s="10"/>
      <c r="E421" s="10"/>
      <c r="F421" s="9"/>
      <c r="G421" s="11">
        <f>IF(OR(A421="",B421=""),"",IF(COUNTIFS($A$6:$A$2005,A421,$B$6:$B$2005,B421)&gt;1,"DUPLICATE",""))</f>
        <v/>
      </c>
    </row>
    <row r="422" spans="1:7">
      <c r="A422" s="9"/>
      <c r="B422" s="12"/>
      <c r="C422" s="10"/>
      <c r="D422" s="10"/>
      <c r="E422" s="10"/>
      <c r="F422" s="9"/>
      <c r="G422" s="11">
        <f>IF(OR(A422="",B422=""),"",IF(COUNTIFS($A$6:$A$2005,A422,$B$6:$B$2005,B422)&gt;1,"DUPLICATE",""))</f>
        <v/>
      </c>
    </row>
    <row r="423" spans="1:7">
      <c r="A423" s="9"/>
      <c r="B423" s="12"/>
      <c r="C423" s="10"/>
      <c r="D423" s="10"/>
      <c r="E423" s="10"/>
      <c r="F423" s="9"/>
      <c r="G423" s="11">
        <f>IF(OR(A423="",B423=""),"",IF(COUNTIFS($A$6:$A$2005,A423,$B$6:$B$2005,B423)&gt;1,"DUPLICATE",""))</f>
        <v/>
      </c>
    </row>
    <row r="424" spans="1:7">
      <c r="A424" s="9"/>
      <c r="B424" s="12"/>
      <c r="C424" s="10"/>
      <c r="D424" s="10"/>
      <c r="E424" s="10"/>
      <c r="F424" s="9"/>
      <c r="G424" s="11">
        <f>IF(OR(A424="",B424=""),"",IF(COUNTIFS($A$6:$A$2005,A424,$B$6:$B$2005,B424)&gt;1,"DUPLICATE",""))</f>
        <v/>
      </c>
    </row>
    <row r="425" spans="1:7">
      <c r="A425" s="9"/>
      <c r="B425" s="12"/>
      <c r="C425" s="10"/>
      <c r="D425" s="10"/>
      <c r="E425" s="10"/>
      <c r="F425" s="9"/>
      <c r="G425" s="11">
        <f>IF(OR(A425="",B425=""),"",IF(COUNTIFS($A$6:$A$2005,A425,$B$6:$B$2005,B425)&gt;1,"DUPLICATE",""))</f>
        <v/>
      </c>
    </row>
    <row r="426" spans="1:7">
      <c r="A426" s="9"/>
      <c r="B426" s="12"/>
      <c r="C426" s="10"/>
      <c r="D426" s="10"/>
      <c r="E426" s="10"/>
      <c r="F426" s="9"/>
      <c r="G426" s="11">
        <f>IF(OR(A426="",B426=""),"",IF(COUNTIFS($A$6:$A$2005,A426,$B$6:$B$2005,B426)&gt;1,"DUPLICATE",""))</f>
        <v/>
      </c>
    </row>
    <row r="427" spans="1:7">
      <c r="A427" s="9"/>
      <c r="B427" s="12"/>
      <c r="C427" s="10"/>
      <c r="D427" s="10"/>
      <c r="E427" s="10"/>
      <c r="F427" s="9"/>
      <c r="G427" s="11">
        <f>IF(OR(A427="",B427=""),"",IF(COUNTIFS($A$6:$A$2005,A427,$B$6:$B$2005,B427)&gt;1,"DUPLICATE",""))</f>
        <v/>
      </c>
    </row>
    <row r="428" spans="1:7">
      <c r="A428" s="9"/>
      <c r="B428" s="12"/>
      <c r="C428" s="10"/>
      <c r="D428" s="10"/>
      <c r="E428" s="10"/>
      <c r="F428" s="9"/>
      <c r="G428" s="11">
        <f>IF(OR(A428="",B428=""),"",IF(COUNTIFS($A$6:$A$2005,A428,$B$6:$B$2005,B428)&gt;1,"DUPLICATE",""))</f>
        <v/>
      </c>
    </row>
    <row r="429" spans="1:7">
      <c r="A429" s="9"/>
      <c r="B429" s="12"/>
      <c r="C429" s="10"/>
      <c r="D429" s="10"/>
      <c r="E429" s="10"/>
      <c r="F429" s="9"/>
      <c r="G429" s="11">
        <f>IF(OR(A429="",B429=""),"",IF(COUNTIFS($A$6:$A$2005,A429,$B$6:$B$2005,B429)&gt;1,"DUPLICATE",""))</f>
        <v/>
      </c>
    </row>
    <row r="430" spans="1:7">
      <c r="A430" s="9"/>
      <c r="B430" s="12"/>
      <c r="C430" s="10"/>
      <c r="D430" s="10"/>
      <c r="E430" s="10"/>
      <c r="F430" s="9"/>
      <c r="G430" s="11">
        <f>IF(OR(A430="",B430=""),"",IF(COUNTIFS($A$6:$A$2005,A430,$B$6:$B$2005,B430)&gt;1,"DUPLICATE",""))</f>
        <v/>
      </c>
    </row>
    <row r="431" spans="1:7">
      <c r="A431" s="9"/>
      <c r="B431" s="12"/>
      <c r="C431" s="10"/>
      <c r="D431" s="10"/>
      <c r="E431" s="10"/>
      <c r="F431" s="9"/>
      <c r="G431" s="11">
        <f>IF(OR(A431="",B431=""),"",IF(COUNTIFS($A$6:$A$2005,A431,$B$6:$B$2005,B431)&gt;1,"DUPLICATE",""))</f>
        <v/>
      </c>
    </row>
    <row r="432" spans="1:7">
      <c r="A432" s="9"/>
      <c r="B432" s="12"/>
      <c r="C432" s="10"/>
      <c r="D432" s="10"/>
      <c r="E432" s="10"/>
      <c r="F432" s="9"/>
      <c r="G432" s="11">
        <f>IF(OR(A432="",B432=""),"",IF(COUNTIFS($A$6:$A$2005,A432,$B$6:$B$2005,B432)&gt;1,"DUPLICATE",""))</f>
        <v/>
      </c>
    </row>
    <row r="433" spans="1:7">
      <c r="A433" s="9"/>
      <c r="B433" s="12"/>
      <c r="C433" s="10"/>
      <c r="D433" s="10"/>
      <c r="E433" s="10"/>
      <c r="F433" s="9"/>
      <c r="G433" s="11">
        <f>IF(OR(A433="",B433=""),"",IF(COUNTIFS($A$6:$A$2005,A433,$B$6:$B$2005,B433)&gt;1,"DUPLICATE",""))</f>
        <v/>
      </c>
    </row>
    <row r="434" spans="1:7">
      <c r="A434" s="9"/>
      <c r="B434" s="12"/>
      <c r="C434" s="10"/>
      <c r="D434" s="10"/>
      <c r="E434" s="10"/>
      <c r="F434" s="9"/>
      <c r="G434" s="11">
        <f>IF(OR(A434="",B434=""),"",IF(COUNTIFS($A$6:$A$2005,A434,$B$6:$B$2005,B434)&gt;1,"DUPLICATE",""))</f>
        <v/>
      </c>
    </row>
    <row r="435" spans="1:7">
      <c r="A435" s="9"/>
      <c r="B435" s="12"/>
      <c r="C435" s="10"/>
      <c r="D435" s="10"/>
      <c r="E435" s="10"/>
      <c r="F435" s="9"/>
      <c r="G435" s="11">
        <f>IF(OR(A435="",B435=""),"",IF(COUNTIFS($A$6:$A$2005,A435,$B$6:$B$2005,B435)&gt;1,"DUPLICATE",""))</f>
        <v/>
      </c>
    </row>
    <row r="436" spans="1:7">
      <c r="A436" s="9"/>
      <c r="B436" s="12"/>
      <c r="C436" s="10"/>
      <c r="D436" s="10"/>
      <c r="E436" s="10"/>
      <c r="F436" s="9"/>
      <c r="G436" s="11">
        <f>IF(OR(A436="",B436=""),"",IF(COUNTIFS($A$6:$A$2005,A436,$B$6:$B$2005,B436)&gt;1,"DUPLICATE",""))</f>
        <v/>
      </c>
    </row>
    <row r="437" spans="1:7">
      <c r="A437" s="9"/>
      <c r="B437" s="12"/>
      <c r="C437" s="10"/>
      <c r="D437" s="10"/>
      <c r="E437" s="10"/>
      <c r="F437" s="9"/>
      <c r="G437" s="11">
        <f>IF(OR(A437="",B437=""),"",IF(COUNTIFS($A$6:$A$2005,A437,$B$6:$B$2005,B437)&gt;1,"DUPLICATE",""))</f>
        <v/>
      </c>
    </row>
    <row r="438" spans="1:7">
      <c r="A438" s="9"/>
      <c r="B438" s="12"/>
      <c r="C438" s="10"/>
      <c r="D438" s="10"/>
      <c r="E438" s="10"/>
      <c r="F438" s="9"/>
      <c r="G438" s="11">
        <f>IF(OR(A438="",B438=""),"",IF(COUNTIFS($A$6:$A$2005,A438,$B$6:$B$2005,B438)&gt;1,"DUPLICATE",""))</f>
        <v/>
      </c>
    </row>
    <row r="439" spans="1:7">
      <c r="A439" s="9"/>
      <c r="B439" s="12"/>
      <c r="C439" s="10"/>
      <c r="D439" s="10"/>
      <c r="E439" s="10"/>
      <c r="F439" s="9"/>
      <c r="G439" s="11">
        <f>IF(OR(A439="",B439=""),"",IF(COUNTIFS($A$6:$A$2005,A439,$B$6:$B$2005,B439)&gt;1,"DUPLICATE",""))</f>
        <v/>
      </c>
    </row>
    <row r="440" spans="1:7">
      <c r="A440" s="9"/>
      <c r="B440" s="12"/>
      <c r="C440" s="10"/>
      <c r="D440" s="10"/>
      <c r="E440" s="10"/>
      <c r="F440" s="9"/>
      <c r="G440" s="11">
        <f>IF(OR(A440="",B440=""),"",IF(COUNTIFS($A$6:$A$2005,A440,$B$6:$B$2005,B440)&gt;1,"DUPLICATE",""))</f>
        <v/>
      </c>
    </row>
    <row r="441" spans="1:7">
      <c r="A441" s="9"/>
      <c r="B441" s="12"/>
      <c r="C441" s="10"/>
      <c r="D441" s="10"/>
      <c r="E441" s="10"/>
      <c r="F441" s="9"/>
      <c r="G441" s="11">
        <f>IF(OR(A441="",B441=""),"",IF(COUNTIFS($A$6:$A$2005,A441,$B$6:$B$2005,B441)&gt;1,"DUPLICATE",""))</f>
        <v/>
      </c>
    </row>
    <row r="442" spans="1:7">
      <c r="A442" s="9"/>
      <c r="B442" s="12"/>
      <c r="C442" s="10"/>
      <c r="D442" s="10"/>
      <c r="E442" s="10"/>
      <c r="F442" s="9"/>
      <c r="G442" s="11">
        <f>IF(OR(A442="",B442=""),"",IF(COUNTIFS($A$6:$A$2005,A442,$B$6:$B$2005,B442)&gt;1,"DUPLICATE",""))</f>
        <v/>
      </c>
    </row>
    <row r="443" spans="1:7">
      <c r="A443" s="9"/>
      <c r="B443" s="12"/>
      <c r="C443" s="10"/>
      <c r="D443" s="10"/>
      <c r="E443" s="10"/>
      <c r="F443" s="9"/>
      <c r="G443" s="11">
        <f>IF(OR(A443="",B443=""),"",IF(COUNTIFS($A$6:$A$2005,A443,$B$6:$B$2005,B443)&gt;1,"DUPLICATE",""))</f>
        <v/>
      </c>
    </row>
    <row r="444" spans="1:7">
      <c r="A444" s="9"/>
      <c r="B444" s="12"/>
      <c r="C444" s="10"/>
      <c r="D444" s="10"/>
      <c r="E444" s="10"/>
      <c r="F444" s="9"/>
      <c r="G444" s="11">
        <f>IF(OR(A444="",B444=""),"",IF(COUNTIFS($A$6:$A$2005,A444,$B$6:$B$2005,B444)&gt;1,"DUPLICATE",""))</f>
        <v/>
      </c>
    </row>
    <row r="445" spans="1:7">
      <c r="A445" s="9"/>
      <c r="B445" s="12"/>
      <c r="C445" s="10"/>
      <c r="D445" s="10"/>
      <c r="E445" s="10"/>
      <c r="F445" s="9"/>
      <c r="G445" s="11">
        <f>IF(OR(A445="",B445=""),"",IF(COUNTIFS($A$6:$A$2005,A445,$B$6:$B$2005,B445)&gt;1,"DUPLICATE",""))</f>
        <v/>
      </c>
    </row>
    <row r="446" spans="1:7">
      <c r="A446" s="9"/>
      <c r="B446" s="12"/>
      <c r="C446" s="10"/>
      <c r="D446" s="10"/>
      <c r="E446" s="10"/>
      <c r="F446" s="9"/>
      <c r="G446" s="11">
        <f>IF(OR(A446="",B446=""),"",IF(COUNTIFS($A$6:$A$2005,A446,$B$6:$B$2005,B446)&gt;1,"DUPLICATE",""))</f>
        <v/>
      </c>
    </row>
    <row r="447" spans="1:7">
      <c r="A447" s="9"/>
      <c r="B447" s="12"/>
      <c r="C447" s="10"/>
      <c r="D447" s="10"/>
      <c r="E447" s="10"/>
      <c r="F447" s="9"/>
      <c r="G447" s="11">
        <f>IF(OR(A447="",B447=""),"",IF(COUNTIFS($A$6:$A$2005,A447,$B$6:$B$2005,B447)&gt;1,"DUPLICATE",""))</f>
        <v/>
      </c>
    </row>
    <row r="448" spans="1:7">
      <c r="A448" s="9"/>
      <c r="B448" s="12"/>
      <c r="C448" s="10"/>
      <c r="D448" s="10"/>
      <c r="E448" s="10"/>
      <c r="F448" s="9"/>
      <c r="G448" s="11">
        <f>IF(OR(A448="",B448=""),"",IF(COUNTIFS($A$6:$A$2005,A448,$B$6:$B$2005,B448)&gt;1,"DUPLICATE",""))</f>
        <v/>
      </c>
    </row>
    <row r="449" spans="1:7">
      <c r="A449" s="9"/>
      <c r="B449" s="12"/>
      <c r="C449" s="10"/>
      <c r="D449" s="10"/>
      <c r="E449" s="10"/>
      <c r="F449" s="9"/>
      <c r="G449" s="11">
        <f>IF(OR(A449="",B449=""),"",IF(COUNTIFS($A$6:$A$2005,A449,$B$6:$B$2005,B449)&gt;1,"DUPLICATE",""))</f>
        <v/>
      </c>
    </row>
    <row r="450" spans="1:7">
      <c r="A450" s="9"/>
      <c r="B450" s="12"/>
      <c r="C450" s="10"/>
      <c r="D450" s="10"/>
      <c r="E450" s="10"/>
      <c r="F450" s="9"/>
      <c r="G450" s="11">
        <f>IF(OR(A450="",B450=""),"",IF(COUNTIFS($A$6:$A$2005,A450,$B$6:$B$2005,B450)&gt;1,"DUPLICATE",""))</f>
        <v/>
      </c>
    </row>
    <row r="451" spans="1:7">
      <c r="A451" s="9"/>
      <c r="B451" s="12"/>
      <c r="C451" s="10"/>
      <c r="D451" s="10"/>
      <c r="E451" s="10"/>
      <c r="F451" s="9"/>
      <c r="G451" s="11">
        <f>IF(OR(A451="",B451=""),"",IF(COUNTIFS($A$6:$A$2005,A451,$B$6:$B$2005,B451)&gt;1,"DUPLICATE",""))</f>
        <v/>
      </c>
    </row>
    <row r="452" spans="1:7">
      <c r="A452" s="9"/>
      <c r="B452" s="12"/>
      <c r="C452" s="10"/>
      <c r="D452" s="10"/>
      <c r="E452" s="10"/>
      <c r="F452" s="9"/>
      <c r="G452" s="11">
        <f>IF(OR(A452="",B452=""),"",IF(COUNTIFS($A$6:$A$2005,A452,$B$6:$B$2005,B452)&gt;1,"DUPLICATE",""))</f>
        <v/>
      </c>
    </row>
    <row r="453" spans="1:7">
      <c r="A453" s="9"/>
      <c r="B453" s="12"/>
      <c r="C453" s="10"/>
      <c r="D453" s="10"/>
      <c r="E453" s="10"/>
      <c r="F453" s="9"/>
      <c r="G453" s="11">
        <f>IF(OR(A453="",B453=""),"",IF(COUNTIFS($A$6:$A$2005,A453,$B$6:$B$2005,B453)&gt;1,"DUPLICATE",""))</f>
        <v/>
      </c>
    </row>
    <row r="454" spans="1:7">
      <c r="A454" s="9"/>
      <c r="B454" s="12"/>
      <c r="C454" s="10"/>
      <c r="D454" s="10"/>
      <c r="E454" s="10"/>
      <c r="F454" s="9"/>
      <c r="G454" s="11">
        <f>IF(OR(A454="",B454=""),"",IF(COUNTIFS($A$6:$A$2005,A454,$B$6:$B$2005,B454)&gt;1,"DUPLICATE",""))</f>
        <v/>
      </c>
    </row>
    <row r="455" spans="1:7">
      <c r="A455" s="9"/>
      <c r="B455" s="12"/>
      <c r="C455" s="10"/>
      <c r="D455" s="10"/>
      <c r="E455" s="10"/>
      <c r="F455" s="9"/>
      <c r="G455" s="11">
        <f>IF(OR(A455="",B455=""),"",IF(COUNTIFS($A$6:$A$2005,A455,$B$6:$B$2005,B455)&gt;1,"DUPLICATE",""))</f>
        <v/>
      </c>
    </row>
    <row r="456" spans="1:7">
      <c r="A456" s="9"/>
      <c r="B456" s="12"/>
      <c r="C456" s="10"/>
      <c r="D456" s="10"/>
      <c r="E456" s="10"/>
      <c r="F456" s="9"/>
      <c r="G456" s="11">
        <f>IF(OR(A456="",B456=""),"",IF(COUNTIFS($A$6:$A$2005,A456,$B$6:$B$2005,B456)&gt;1,"DUPLICATE",""))</f>
        <v/>
      </c>
    </row>
    <row r="457" spans="1:7">
      <c r="A457" s="9"/>
      <c r="B457" s="12"/>
      <c r="C457" s="10"/>
      <c r="D457" s="10"/>
      <c r="E457" s="10"/>
      <c r="F457" s="9"/>
      <c r="G457" s="11">
        <f>IF(OR(A457="",B457=""),"",IF(COUNTIFS($A$6:$A$2005,A457,$B$6:$B$2005,B457)&gt;1,"DUPLICATE",""))</f>
        <v/>
      </c>
    </row>
    <row r="458" spans="1:7">
      <c r="A458" s="9"/>
      <c r="B458" s="12"/>
      <c r="C458" s="10"/>
      <c r="D458" s="10"/>
      <c r="E458" s="10"/>
      <c r="F458" s="9"/>
      <c r="G458" s="11">
        <f>IF(OR(A458="",B458=""),"",IF(COUNTIFS($A$6:$A$2005,A458,$B$6:$B$2005,B458)&gt;1,"DUPLICATE",""))</f>
        <v/>
      </c>
    </row>
    <row r="459" spans="1:7">
      <c r="A459" s="9"/>
      <c r="B459" s="12"/>
      <c r="C459" s="10"/>
      <c r="D459" s="10"/>
      <c r="E459" s="10"/>
      <c r="F459" s="9"/>
      <c r="G459" s="11">
        <f>IF(OR(A459="",B459=""),"",IF(COUNTIFS($A$6:$A$2005,A459,$B$6:$B$2005,B459)&gt;1,"DUPLICATE",""))</f>
        <v/>
      </c>
    </row>
    <row r="460" spans="1:7">
      <c r="A460" s="9"/>
      <c r="B460" s="12"/>
      <c r="C460" s="10"/>
      <c r="D460" s="10"/>
      <c r="E460" s="10"/>
      <c r="F460" s="9"/>
      <c r="G460" s="11">
        <f>IF(OR(A460="",B460=""),"",IF(COUNTIFS($A$6:$A$2005,A460,$B$6:$B$2005,B460)&gt;1,"DUPLICATE",""))</f>
        <v/>
      </c>
    </row>
    <row r="461" spans="1:7">
      <c r="A461" s="9"/>
      <c r="B461" s="12"/>
      <c r="C461" s="10"/>
      <c r="D461" s="10"/>
      <c r="E461" s="10"/>
      <c r="F461" s="9"/>
      <c r="G461" s="11">
        <f>IF(OR(A461="",B461=""),"",IF(COUNTIFS($A$6:$A$2005,A461,$B$6:$B$2005,B461)&gt;1,"DUPLICATE",""))</f>
        <v/>
      </c>
    </row>
    <row r="462" spans="1:7">
      <c r="A462" s="9"/>
      <c r="B462" s="12"/>
      <c r="C462" s="10"/>
      <c r="D462" s="10"/>
      <c r="E462" s="10"/>
      <c r="F462" s="9"/>
      <c r="G462" s="11">
        <f>IF(OR(A462="",B462=""),"",IF(COUNTIFS($A$6:$A$2005,A462,$B$6:$B$2005,B462)&gt;1,"DUPLICATE",""))</f>
        <v/>
      </c>
    </row>
    <row r="463" spans="1:7">
      <c r="A463" s="9"/>
      <c r="B463" s="12"/>
      <c r="C463" s="10"/>
      <c r="D463" s="10"/>
      <c r="E463" s="10"/>
      <c r="F463" s="9"/>
      <c r="G463" s="11">
        <f>IF(OR(A463="",B463=""),"",IF(COUNTIFS($A$6:$A$2005,A463,$B$6:$B$2005,B463)&gt;1,"DUPLICATE",""))</f>
        <v/>
      </c>
    </row>
    <row r="464" spans="1:7">
      <c r="A464" s="9"/>
      <c r="B464" s="12"/>
      <c r="C464" s="10"/>
      <c r="D464" s="10"/>
      <c r="E464" s="10"/>
      <c r="F464" s="9"/>
      <c r="G464" s="11">
        <f>IF(OR(A464="",B464=""),"",IF(COUNTIFS($A$6:$A$2005,A464,$B$6:$B$2005,B464)&gt;1,"DUPLICATE",""))</f>
        <v/>
      </c>
    </row>
    <row r="465" spans="1:7">
      <c r="A465" s="9"/>
      <c r="B465" s="12"/>
      <c r="C465" s="10"/>
      <c r="D465" s="10"/>
      <c r="E465" s="10"/>
      <c r="F465" s="9"/>
      <c r="G465" s="11">
        <f>IF(OR(A465="",B465=""),"",IF(COUNTIFS($A$6:$A$2005,A465,$B$6:$B$2005,B465)&gt;1,"DUPLICATE",""))</f>
        <v/>
      </c>
    </row>
    <row r="466" spans="1:7">
      <c r="A466" s="9"/>
      <c r="B466" s="12"/>
      <c r="C466" s="10"/>
      <c r="D466" s="10"/>
      <c r="E466" s="10"/>
      <c r="F466" s="9"/>
      <c r="G466" s="11">
        <f>IF(OR(A466="",B466=""),"",IF(COUNTIFS($A$6:$A$2005,A466,$B$6:$B$2005,B466)&gt;1,"DUPLICATE",""))</f>
        <v/>
      </c>
    </row>
    <row r="467" spans="1:7">
      <c r="A467" s="9"/>
      <c r="B467" s="12"/>
      <c r="C467" s="10"/>
      <c r="D467" s="10"/>
      <c r="E467" s="10"/>
      <c r="F467" s="9"/>
      <c r="G467" s="11">
        <f>IF(OR(A467="",B467=""),"",IF(COUNTIFS($A$6:$A$2005,A467,$B$6:$B$2005,B467)&gt;1,"DUPLICATE",""))</f>
        <v/>
      </c>
    </row>
    <row r="468" spans="1:7">
      <c r="A468" s="9"/>
      <c r="B468" s="12"/>
      <c r="C468" s="10"/>
      <c r="D468" s="10"/>
      <c r="E468" s="10"/>
      <c r="F468" s="9"/>
      <c r="G468" s="11">
        <f>IF(OR(A468="",B468=""),"",IF(COUNTIFS($A$6:$A$2005,A468,$B$6:$B$2005,B468)&gt;1,"DUPLICATE",""))</f>
        <v/>
      </c>
    </row>
    <row r="469" spans="1:7">
      <c r="A469" s="9"/>
      <c r="B469" s="12"/>
      <c r="C469" s="10"/>
      <c r="D469" s="10"/>
      <c r="E469" s="10"/>
      <c r="F469" s="9"/>
      <c r="G469" s="11">
        <f>IF(OR(A469="",B469=""),"",IF(COUNTIFS($A$6:$A$2005,A469,$B$6:$B$2005,B469)&gt;1,"DUPLICATE",""))</f>
        <v/>
      </c>
    </row>
    <row r="470" spans="1:7">
      <c r="A470" s="9"/>
      <c r="B470" s="12"/>
      <c r="C470" s="10"/>
      <c r="D470" s="10"/>
      <c r="E470" s="10"/>
      <c r="F470" s="9"/>
      <c r="G470" s="11">
        <f>IF(OR(A470="",B470=""),"",IF(COUNTIFS($A$6:$A$2005,A470,$B$6:$B$2005,B470)&gt;1,"DUPLICATE",""))</f>
        <v/>
      </c>
    </row>
    <row r="471" spans="1:7">
      <c r="A471" s="9"/>
      <c r="B471" s="12"/>
      <c r="C471" s="10"/>
      <c r="D471" s="10"/>
      <c r="E471" s="10"/>
      <c r="F471" s="9"/>
      <c r="G471" s="11">
        <f>IF(OR(A471="",B471=""),"",IF(COUNTIFS($A$6:$A$2005,A471,$B$6:$B$2005,B471)&gt;1,"DUPLICATE",""))</f>
        <v/>
      </c>
    </row>
    <row r="472" spans="1:7">
      <c r="A472" s="9"/>
      <c r="B472" s="12"/>
      <c r="C472" s="10"/>
      <c r="D472" s="10"/>
      <c r="E472" s="10"/>
      <c r="F472" s="9"/>
      <c r="G472" s="11">
        <f>IF(OR(A472="",B472=""),"",IF(COUNTIFS($A$6:$A$2005,A472,$B$6:$B$2005,B472)&gt;1,"DUPLICATE",""))</f>
        <v/>
      </c>
    </row>
    <row r="473" spans="1:7">
      <c r="A473" s="9"/>
      <c r="B473" s="12"/>
      <c r="C473" s="10"/>
      <c r="D473" s="10"/>
      <c r="E473" s="10"/>
      <c r="F473" s="9"/>
      <c r="G473" s="11">
        <f>IF(OR(A473="",B473=""),"",IF(COUNTIFS($A$6:$A$2005,A473,$B$6:$B$2005,B473)&gt;1,"DUPLICATE",""))</f>
        <v/>
      </c>
    </row>
    <row r="474" spans="1:7">
      <c r="A474" s="9"/>
      <c r="B474" s="12"/>
      <c r="C474" s="10"/>
      <c r="D474" s="10"/>
      <c r="E474" s="10"/>
      <c r="F474" s="9"/>
      <c r="G474" s="11">
        <f>IF(OR(A474="",B474=""),"",IF(COUNTIFS($A$6:$A$2005,A474,$B$6:$B$2005,B474)&gt;1,"DUPLICATE",""))</f>
        <v/>
      </c>
    </row>
    <row r="475" spans="1:7">
      <c r="A475" s="9"/>
      <c r="B475" s="12"/>
      <c r="C475" s="10"/>
      <c r="D475" s="10"/>
      <c r="E475" s="10"/>
      <c r="F475" s="9"/>
      <c r="G475" s="11">
        <f>IF(OR(A475="",B475=""),"",IF(COUNTIFS($A$6:$A$2005,A475,$B$6:$B$2005,B475)&gt;1,"DUPLICATE",""))</f>
        <v/>
      </c>
    </row>
    <row r="476" spans="1:7">
      <c r="A476" s="9"/>
      <c r="B476" s="12"/>
      <c r="C476" s="10"/>
      <c r="D476" s="10"/>
      <c r="E476" s="10"/>
      <c r="F476" s="9"/>
      <c r="G476" s="11">
        <f>IF(OR(A476="",B476=""),"",IF(COUNTIFS($A$6:$A$2005,A476,$B$6:$B$2005,B476)&gt;1,"DUPLICATE",""))</f>
        <v/>
      </c>
    </row>
    <row r="477" spans="1:7">
      <c r="A477" s="9"/>
      <c r="B477" s="12"/>
      <c r="C477" s="10"/>
      <c r="D477" s="10"/>
      <c r="E477" s="10"/>
      <c r="F477" s="9"/>
      <c r="G477" s="11">
        <f>IF(OR(A477="",B477=""),"",IF(COUNTIFS($A$6:$A$2005,A477,$B$6:$B$2005,B477)&gt;1,"DUPLICATE",""))</f>
        <v/>
      </c>
    </row>
    <row r="478" spans="1:7">
      <c r="A478" s="9"/>
      <c r="B478" s="12"/>
      <c r="C478" s="10"/>
      <c r="D478" s="10"/>
      <c r="E478" s="10"/>
      <c r="F478" s="9"/>
      <c r="G478" s="11">
        <f>IF(OR(A478="",B478=""),"",IF(COUNTIFS($A$6:$A$2005,A478,$B$6:$B$2005,B478)&gt;1,"DUPLICATE",""))</f>
        <v/>
      </c>
    </row>
    <row r="479" spans="1:7">
      <c r="A479" s="9"/>
      <c r="B479" s="12"/>
      <c r="C479" s="10"/>
      <c r="D479" s="10"/>
      <c r="E479" s="10"/>
      <c r="F479" s="9"/>
      <c r="G479" s="11">
        <f>IF(OR(A479="",B479=""),"",IF(COUNTIFS($A$6:$A$2005,A479,$B$6:$B$2005,B479)&gt;1,"DUPLICATE",""))</f>
        <v/>
      </c>
    </row>
    <row r="480" spans="1:7">
      <c r="A480" s="9"/>
      <c r="B480" s="12"/>
      <c r="C480" s="10"/>
      <c r="D480" s="10"/>
      <c r="E480" s="10"/>
      <c r="F480" s="9"/>
      <c r="G480" s="11">
        <f>IF(OR(A480="",B480=""),"",IF(COUNTIFS($A$6:$A$2005,A480,$B$6:$B$2005,B480)&gt;1,"DUPLICATE",""))</f>
        <v/>
      </c>
    </row>
    <row r="481" spans="1:7">
      <c r="A481" s="9"/>
      <c r="B481" s="12"/>
      <c r="C481" s="10"/>
      <c r="D481" s="10"/>
      <c r="E481" s="10"/>
      <c r="F481" s="9"/>
      <c r="G481" s="11">
        <f>IF(OR(A481="",B481=""),"",IF(COUNTIFS($A$6:$A$2005,A481,$B$6:$B$2005,B481)&gt;1,"DUPLICATE",""))</f>
        <v/>
      </c>
    </row>
    <row r="482" spans="1:7">
      <c r="A482" s="9"/>
      <c r="B482" s="12"/>
      <c r="C482" s="10"/>
      <c r="D482" s="10"/>
      <c r="E482" s="10"/>
      <c r="F482" s="9"/>
      <c r="G482" s="11">
        <f>IF(OR(A482="",B482=""),"",IF(COUNTIFS($A$6:$A$2005,A482,$B$6:$B$2005,B482)&gt;1,"DUPLICATE",""))</f>
        <v/>
      </c>
    </row>
    <row r="483" spans="1:7">
      <c r="A483" s="9"/>
      <c r="B483" s="12"/>
      <c r="C483" s="10"/>
      <c r="D483" s="10"/>
      <c r="E483" s="10"/>
      <c r="F483" s="9"/>
      <c r="G483" s="11">
        <f>IF(OR(A483="",B483=""),"",IF(COUNTIFS($A$6:$A$2005,A483,$B$6:$B$2005,B483)&gt;1,"DUPLICATE",""))</f>
        <v/>
      </c>
    </row>
    <row r="484" spans="1:7">
      <c r="A484" s="9"/>
      <c r="B484" s="12"/>
      <c r="C484" s="10"/>
      <c r="D484" s="10"/>
      <c r="E484" s="10"/>
      <c r="F484" s="9"/>
      <c r="G484" s="11">
        <f>IF(OR(A484="",B484=""),"",IF(COUNTIFS($A$6:$A$2005,A484,$B$6:$B$2005,B484)&gt;1,"DUPLICATE",""))</f>
        <v/>
      </c>
    </row>
    <row r="485" spans="1:7">
      <c r="A485" s="9"/>
      <c r="B485" s="12"/>
      <c r="C485" s="10"/>
      <c r="D485" s="10"/>
      <c r="E485" s="10"/>
      <c r="F485" s="9"/>
      <c r="G485" s="11">
        <f>IF(OR(A485="",B485=""),"",IF(COUNTIFS($A$6:$A$2005,A485,$B$6:$B$2005,B485)&gt;1,"DUPLICATE",""))</f>
        <v/>
      </c>
    </row>
    <row r="486" spans="1:7">
      <c r="A486" s="9"/>
      <c r="B486" s="12"/>
      <c r="C486" s="10"/>
      <c r="D486" s="10"/>
      <c r="E486" s="10"/>
      <c r="F486" s="9"/>
      <c r="G486" s="11">
        <f>IF(OR(A486="",B486=""),"",IF(COUNTIFS($A$6:$A$2005,A486,$B$6:$B$2005,B486)&gt;1,"DUPLICATE",""))</f>
        <v/>
      </c>
    </row>
    <row r="487" spans="1:7">
      <c r="A487" s="9"/>
      <c r="B487" s="12"/>
      <c r="C487" s="10"/>
      <c r="D487" s="10"/>
      <c r="E487" s="10"/>
      <c r="F487" s="9"/>
      <c r="G487" s="11">
        <f>IF(OR(A487="",B487=""),"",IF(COUNTIFS($A$6:$A$2005,A487,$B$6:$B$2005,B487)&gt;1,"DUPLICATE",""))</f>
        <v/>
      </c>
    </row>
    <row r="488" spans="1:7">
      <c r="A488" s="9"/>
      <c r="B488" s="12"/>
      <c r="C488" s="10"/>
      <c r="D488" s="10"/>
      <c r="E488" s="10"/>
      <c r="F488" s="9"/>
      <c r="G488" s="11">
        <f>IF(OR(A488="",B488=""),"",IF(COUNTIFS($A$6:$A$2005,A488,$B$6:$B$2005,B488)&gt;1,"DUPLICATE",""))</f>
        <v/>
      </c>
    </row>
    <row r="489" spans="1:7">
      <c r="A489" s="9"/>
      <c r="B489" s="12"/>
      <c r="C489" s="10"/>
      <c r="D489" s="10"/>
      <c r="E489" s="10"/>
      <c r="F489" s="9"/>
      <c r="G489" s="11">
        <f>IF(OR(A489="",B489=""),"",IF(COUNTIFS($A$6:$A$2005,A489,$B$6:$B$2005,B489)&gt;1,"DUPLICATE",""))</f>
        <v/>
      </c>
    </row>
    <row r="490" spans="1:7">
      <c r="A490" s="9"/>
      <c r="B490" s="12"/>
      <c r="C490" s="10"/>
      <c r="D490" s="10"/>
      <c r="E490" s="10"/>
      <c r="F490" s="9"/>
      <c r="G490" s="11">
        <f>IF(OR(A490="",B490=""),"",IF(COUNTIFS($A$6:$A$2005,A490,$B$6:$B$2005,B490)&gt;1,"DUPLICATE",""))</f>
        <v/>
      </c>
    </row>
    <row r="491" spans="1:7">
      <c r="A491" s="9"/>
      <c r="B491" s="12"/>
      <c r="C491" s="10"/>
      <c r="D491" s="10"/>
      <c r="E491" s="10"/>
      <c r="F491" s="9"/>
      <c r="G491" s="11">
        <f>IF(OR(A491="",B491=""),"",IF(COUNTIFS($A$6:$A$2005,A491,$B$6:$B$2005,B491)&gt;1,"DUPLICATE",""))</f>
        <v/>
      </c>
    </row>
    <row r="492" spans="1:7">
      <c r="A492" s="9"/>
      <c r="B492" s="12"/>
      <c r="C492" s="10"/>
      <c r="D492" s="10"/>
      <c r="E492" s="10"/>
      <c r="F492" s="9"/>
      <c r="G492" s="11">
        <f>IF(OR(A492="",B492=""),"",IF(COUNTIFS($A$6:$A$2005,A492,$B$6:$B$2005,B492)&gt;1,"DUPLICATE",""))</f>
        <v/>
      </c>
    </row>
    <row r="493" spans="1:7">
      <c r="A493" s="9"/>
      <c r="B493" s="12"/>
      <c r="C493" s="10"/>
      <c r="D493" s="10"/>
      <c r="E493" s="10"/>
      <c r="F493" s="9"/>
      <c r="G493" s="11">
        <f>IF(OR(A493="",B493=""),"",IF(COUNTIFS($A$6:$A$2005,A493,$B$6:$B$2005,B493)&gt;1,"DUPLICATE",""))</f>
        <v/>
      </c>
    </row>
    <row r="494" spans="1:7">
      <c r="A494" s="9"/>
      <c r="B494" s="12"/>
      <c r="C494" s="10"/>
      <c r="D494" s="10"/>
      <c r="E494" s="10"/>
      <c r="F494" s="9"/>
      <c r="G494" s="11">
        <f>IF(OR(A494="",B494=""),"",IF(COUNTIFS($A$6:$A$2005,A494,$B$6:$B$2005,B494)&gt;1,"DUPLICATE",""))</f>
        <v/>
      </c>
    </row>
    <row r="495" spans="1:7">
      <c r="A495" s="9"/>
      <c r="B495" s="12"/>
      <c r="C495" s="10"/>
      <c r="D495" s="10"/>
      <c r="E495" s="10"/>
      <c r="F495" s="9"/>
      <c r="G495" s="11">
        <f>IF(OR(A495="",B495=""),"",IF(COUNTIFS($A$6:$A$2005,A495,$B$6:$B$2005,B495)&gt;1,"DUPLICATE",""))</f>
        <v/>
      </c>
    </row>
    <row r="496" spans="1:7">
      <c r="A496" s="9"/>
      <c r="B496" s="12"/>
      <c r="C496" s="10"/>
      <c r="D496" s="10"/>
      <c r="E496" s="10"/>
      <c r="F496" s="9"/>
      <c r="G496" s="11">
        <f>IF(OR(A496="",B496=""),"",IF(COUNTIFS($A$6:$A$2005,A496,$B$6:$B$2005,B496)&gt;1,"DUPLICATE",""))</f>
        <v/>
      </c>
    </row>
    <row r="497" spans="1:7">
      <c r="A497" s="9"/>
      <c r="B497" s="12"/>
      <c r="C497" s="10"/>
      <c r="D497" s="10"/>
      <c r="E497" s="10"/>
      <c r="F497" s="9"/>
      <c r="G497" s="11">
        <f>IF(OR(A497="",B497=""),"",IF(COUNTIFS($A$6:$A$2005,A497,$B$6:$B$2005,B497)&gt;1,"DUPLICATE",""))</f>
        <v/>
      </c>
    </row>
    <row r="498" spans="1:7">
      <c r="A498" s="9"/>
      <c r="B498" s="12"/>
      <c r="C498" s="10"/>
      <c r="D498" s="10"/>
      <c r="E498" s="10"/>
      <c r="F498" s="9"/>
      <c r="G498" s="11">
        <f>IF(OR(A498="",B498=""),"",IF(COUNTIFS($A$6:$A$2005,A498,$B$6:$B$2005,B498)&gt;1,"DUPLICATE",""))</f>
        <v/>
      </c>
    </row>
    <row r="499" spans="1:7">
      <c r="A499" s="9"/>
      <c r="B499" s="12"/>
      <c r="C499" s="10"/>
      <c r="D499" s="10"/>
      <c r="E499" s="10"/>
      <c r="F499" s="9"/>
      <c r="G499" s="11">
        <f>IF(OR(A499="",B499=""),"",IF(COUNTIFS($A$6:$A$2005,A499,$B$6:$B$2005,B499)&gt;1,"DUPLICATE",""))</f>
        <v/>
      </c>
    </row>
    <row r="500" spans="1:7">
      <c r="A500" s="9"/>
      <c r="B500" s="12"/>
      <c r="C500" s="10"/>
      <c r="D500" s="10"/>
      <c r="E500" s="10"/>
      <c r="F500" s="9"/>
      <c r="G500" s="11">
        <f>IF(OR(A500="",B500=""),"",IF(COUNTIFS($A$6:$A$2005,A500,$B$6:$B$2005,B500)&gt;1,"DUPLICATE",""))</f>
        <v/>
      </c>
    </row>
    <row r="501" spans="1:7">
      <c r="A501" s="9"/>
      <c r="B501" s="12"/>
      <c r="C501" s="10"/>
      <c r="D501" s="10"/>
      <c r="E501" s="10"/>
      <c r="F501" s="9"/>
      <c r="G501" s="11">
        <f>IF(OR(A501="",B501=""),"",IF(COUNTIFS($A$6:$A$2005,A501,$B$6:$B$2005,B501)&gt;1,"DUPLICATE",""))</f>
        <v/>
      </c>
    </row>
    <row r="502" spans="1:7">
      <c r="A502" s="9"/>
      <c r="B502" s="12"/>
      <c r="C502" s="10"/>
      <c r="D502" s="10"/>
      <c r="E502" s="10"/>
      <c r="F502" s="9"/>
      <c r="G502" s="11">
        <f>IF(OR(A502="",B502=""),"",IF(COUNTIFS($A$6:$A$2005,A502,$B$6:$B$2005,B502)&gt;1,"DUPLICATE",""))</f>
        <v/>
      </c>
    </row>
    <row r="503" spans="1:7">
      <c r="A503" s="9"/>
      <c r="B503" s="12"/>
      <c r="C503" s="10"/>
      <c r="D503" s="10"/>
      <c r="E503" s="10"/>
      <c r="F503" s="9"/>
      <c r="G503" s="11">
        <f>IF(OR(A503="",B503=""),"",IF(COUNTIFS($A$6:$A$2005,A503,$B$6:$B$2005,B503)&gt;1,"DUPLICATE",""))</f>
        <v/>
      </c>
    </row>
    <row r="504" spans="1:7">
      <c r="A504" s="9"/>
      <c r="B504" s="12"/>
      <c r="C504" s="10"/>
      <c r="D504" s="10"/>
      <c r="E504" s="10"/>
      <c r="F504" s="9"/>
      <c r="G504" s="11">
        <f>IF(OR(A504="",B504=""),"",IF(COUNTIFS($A$6:$A$2005,A504,$B$6:$B$2005,B504)&gt;1,"DUPLICATE",""))</f>
        <v/>
      </c>
    </row>
    <row r="505" spans="1:7">
      <c r="A505" s="9"/>
      <c r="B505" s="12"/>
      <c r="C505" s="10"/>
      <c r="D505" s="10"/>
      <c r="E505" s="10"/>
      <c r="F505" s="9"/>
      <c r="G505" s="11">
        <f>IF(OR(A505="",B505=""),"",IF(COUNTIFS($A$6:$A$2005,A505,$B$6:$B$2005,B505)&gt;1,"DUPLICATE",""))</f>
        <v/>
      </c>
    </row>
    <row r="506" spans="1:7">
      <c r="A506" s="9"/>
      <c r="B506" s="12"/>
      <c r="C506" s="10"/>
      <c r="D506" s="10"/>
      <c r="E506" s="10"/>
      <c r="F506" s="9"/>
      <c r="G506" s="11">
        <f>IF(OR(A506="",B506=""),"",IF(COUNTIFS($A$6:$A$2005,A506,$B$6:$B$2005,B506)&gt;1,"DUPLICATE",""))</f>
        <v/>
      </c>
    </row>
    <row r="507" spans="1:7">
      <c r="A507" s="9"/>
      <c r="B507" s="12"/>
      <c r="C507" s="10"/>
      <c r="D507" s="10"/>
      <c r="E507" s="10"/>
      <c r="F507" s="9"/>
      <c r="G507" s="11">
        <f>IF(OR(A507="",B507=""),"",IF(COUNTIFS($A$6:$A$2005,A507,$B$6:$B$2005,B507)&gt;1,"DUPLICATE",""))</f>
        <v/>
      </c>
    </row>
    <row r="508" spans="1:7">
      <c r="A508" s="9"/>
      <c r="B508" s="12"/>
      <c r="C508" s="10"/>
      <c r="D508" s="10"/>
      <c r="E508" s="10"/>
      <c r="F508" s="9"/>
      <c r="G508" s="11">
        <f>IF(OR(A508="",B508=""),"",IF(COUNTIFS($A$6:$A$2005,A508,$B$6:$B$2005,B508)&gt;1,"DUPLICATE",""))</f>
        <v/>
      </c>
    </row>
    <row r="509" spans="1:7">
      <c r="A509" s="9"/>
      <c r="B509" s="12"/>
      <c r="C509" s="10"/>
      <c r="D509" s="10"/>
      <c r="E509" s="10"/>
      <c r="F509" s="9"/>
      <c r="G509" s="11">
        <f>IF(OR(A509="",B509=""),"",IF(COUNTIFS($A$6:$A$2005,A509,$B$6:$B$2005,B509)&gt;1,"DUPLICATE",""))</f>
        <v/>
      </c>
    </row>
    <row r="510" spans="1:7">
      <c r="A510" s="9"/>
      <c r="B510" s="12"/>
      <c r="C510" s="10"/>
      <c r="D510" s="10"/>
      <c r="E510" s="10"/>
      <c r="F510" s="9"/>
      <c r="G510" s="11">
        <f>IF(OR(A510="",B510=""),"",IF(COUNTIFS($A$6:$A$2005,A510,$B$6:$B$2005,B510)&gt;1,"DUPLICATE",""))</f>
        <v/>
      </c>
    </row>
    <row r="511" spans="1:7">
      <c r="A511" s="9"/>
      <c r="B511" s="12"/>
      <c r="C511" s="10"/>
      <c r="D511" s="10"/>
      <c r="E511" s="10"/>
      <c r="F511" s="9"/>
      <c r="G511" s="11">
        <f>IF(OR(A511="",B511=""),"",IF(COUNTIFS($A$6:$A$2005,A511,$B$6:$B$2005,B511)&gt;1,"DUPLICATE",""))</f>
        <v/>
      </c>
    </row>
    <row r="512" spans="1:7">
      <c r="A512" s="9"/>
      <c r="B512" s="12"/>
      <c r="C512" s="10"/>
      <c r="D512" s="10"/>
      <c r="E512" s="10"/>
      <c r="F512" s="9"/>
      <c r="G512" s="11">
        <f>IF(OR(A512="",B512=""),"",IF(COUNTIFS($A$6:$A$2005,A512,$B$6:$B$2005,B512)&gt;1,"DUPLICATE",""))</f>
        <v/>
      </c>
    </row>
    <row r="513" spans="1:7">
      <c r="A513" s="9"/>
      <c r="B513" s="12"/>
      <c r="C513" s="10"/>
      <c r="D513" s="10"/>
      <c r="E513" s="10"/>
      <c r="F513" s="9"/>
      <c r="G513" s="11">
        <f>IF(OR(A513="",B513=""),"",IF(COUNTIFS($A$6:$A$2005,A513,$B$6:$B$2005,B513)&gt;1,"DUPLICATE",""))</f>
        <v/>
      </c>
    </row>
    <row r="514" spans="1:7">
      <c r="A514" s="9"/>
      <c r="B514" s="12"/>
      <c r="C514" s="10"/>
      <c r="D514" s="10"/>
      <c r="E514" s="10"/>
      <c r="F514" s="9"/>
      <c r="G514" s="11">
        <f>IF(OR(A514="",B514=""),"",IF(COUNTIFS($A$6:$A$2005,A514,$B$6:$B$2005,B514)&gt;1,"DUPLICATE",""))</f>
        <v/>
      </c>
    </row>
    <row r="515" spans="1:7">
      <c r="A515" s="9"/>
      <c r="B515" s="12"/>
      <c r="C515" s="10"/>
      <c r="D515" s="10"/>
      <c r="E515" s="10"/>
      <c r="F515" s="9"/>
      <c r="G515" s="11">
        <f>IF(OR(A515="",B515=""),"",IF(COUNTIFS($A$6:$A$2005,A515,$B$6:$B$2005,B515)&gt;1,"DUPLICATE",""))</f>
        <v/>
      </c>
    </row>
    <row r="516" spans="1:7">
      <c r="A516" s="9"/>
      <c r="B516" s="12"/>
      <c r="C516" s="10"/>
      <c r="D516" s="10"/>
      <c r="E516" s="10"/>
      <c r="F516" s="9"/>
      <c r="G516" s="11">
        <f>IF(OR(A516="",B516=""),"",IF(COUNTIFS($A$6:$A$2005,A516,$B$6:$B$2005,B516)&gt;1,"DUPLICATE",""))</f>
        <v/>
      </c>
    </row>
    <row r="517" spans="1:7">
      <c r="A517" s="9"/>
      <c r="B517" s="12"/>
      <c r="C517" s="10"/>
      <c r="D517" s="10"/>
      <c r="E517" s="10"/>
      <c r="F517" s="9"/>
      <c r="G517" s="11">
        <f>IF(OR(A517="",B517=""),"",IF(COUNTIFS($A$6:$A$2005,A517,$B$6:$B$2005,B517)&gt;1,"DUPLICATE",""))</f>
        <v/>
      </c>
    </row>
    <row r="518" spans="1:7">
      <c r="A518" s="9"/>
      <c r="B518" s="12"/>
      <c r="C518" s="10"/>
      <c r="D518" s="10"/>
      <c r="E518" s="10"/>
      <c r="F518" s="9"/>
      <c r="G518" s="11">
        <f>IF(OR(A518="",B518=""),"",IF(COUNTIFS($A$6:$A$2005,A518,$B$6:$B$2005,B518)&gt;1,"DUPLICATE",""))</f>
        <v/>
      </c>
    </row>
    <row r="519" spans="1:7">
      <c r="A519" s="9"/>
      <c r="B519" s="12"/>
      <c r="C519" s="10"/>
      <c r="D519" s="10"/>
      <c r="E519" s="10"/>
      <c r="F519" s="9"/>
      <c r="G519" s="11">
        <f>IF(OR(A519="",B519=""),"",IF(COUNTIFS($A$6:$A$2005,A519,$B$6:$B$2005,B519)&gt;1,"DUPLICATE",""))</f>
        <v/>
      </c>
    </row>
    <row r="520" spans="1:7">
      <c r="A520" s="9"/>
      <c r="B520" s="12"/>
      <c r="C520" s="10"/>
      <c r="D520" s="10"/>
      <c r="E520" s="10"/>
      <c r="F520" s="9"/>
      <c r="G520" s="11">
        <f>IF(OR(A520="",B520=""),"",IF(COUNTIFS($A$6:$A$2005,A520,$B$6:$B$2005,B520)&gt;1,"DUPLICATE",""))</f>
        <v/>
      </c>
    </row>
    <row r="521" spans="1:7">
      <c r="A521" s="9"/>
      <c r="B521" s="12"/>
      <c r="C521" s="10"/>
      <c r="D521" s="10"/>
      <c r="E521" s="10"/>
      <c r="F521" s="9"/>
      <c r="G521" s="11">
        <f>IF(OR(A521="",B521=""),"",IF(COUNTIFS($A$6:$A$2005,A521,$B$6:$B$2005,B521)&gt;1,"DUPLICATE",""))</f>
        <v/>
      </c>
    </row>
    <row r="522" spans="1:7">
      <c r="A522" s="9"/>
      <c r="B522" s="12"/>
      <c r="C522" s="10"/>
      <c r="D522" s="10"/>
      <c r="E522" s="10"/>
      <c r="F522" s="9"/>
      <c r="G522" s="11">
        <f>IF(OR(A522="",B522=""),"",IF(COUNTIFS($A$6:$A$2005,A522,$B$6:$B$2005,B522)&gt;1,"DUPLICATE",""))</f>
        <v/>
      </c>
    </row>
    <row r="523" spans="1:7">
      <c r="A523" s="9"/>
      <c r="B523" s="12"/>
      <c r="C523" s="10"/>
      <c r="D523" s="10"/>
      <c r="E523" s="10"/>
      <c r="F523" s="9"/>
      <c r="G523" s="11">
        <f>IF(OR(A523="",B523=""),"",IF(COUNTIFS($A$6:$A$2005,A523,$B$6:$B$2005,B523)&gt;1,"DUPLICATE",""))</f>
        <v/>
      </c>
    </row>
    <row r="524" spans="1:7">
      <c r="A524" s="9"/>
      <c r="B524" s="12"/>
      <c r="C524" s="10"/>
      <c r="D524" s="10"/>
      <c r="E524" s="10"/>
      <c r="F524" s="9"/>
      <c r="G524" s="11">
        <f>IF(OR(A524="",B524=""),"",IF(COUNTIFS($A$6:$A$2005,A524,$B$6:$B$2005,B524)&gt;1,"DUPLICATE",""))</f>
        <v/>
      </c>
    </row>
    <row r="525" spans="1:7">
      <c r="A525" s="9"/>
      <c r="B525" s="12"/>
      <c r="C525" s="10"/>
      <c r="D525" s="10"/>
      <c r="E525" s="10"/>
      <c r="F525" s="9"/>
      <c r="G525" s="11">
        <f>IF(OR(A525="",B525=""),"",IF(COUNTIFS($A$6:$A$2005,A525,$B$6:$B$2005,B525)&gt;1,"DUPLICATE",""))</f>
        <v/>
      </c>
    </row>
    <row r="526" spans="1:7">
      <c r="A526" s="9"/>
      <c r="B526" s="12"/>
      <c r="C526" s="10"/>
      <c r="D526" s="10"/>
      <c r="E526" s="10"/>
      <c r="F526" s="9"/>
      <c r="G526" s="11">
        <f>IF(OR(A526="",B526=""),"",IF(COUNTIFS($A$6:$A$2005,A526,$B$6:$B$2005,B526)&gt;1,"DUPLICATE",""))</f>
        <v/>
      </c>
    </row>
    <row r="527" spans="1:7">
      <c r="A527" s="9"/>
      <c r="B527" s="12"/>
      <c r="C527" s="10"/>
      <c r="D527" s="10"/>
      <c r="E527" s="10"/>
      <c r="F527" s="9"/>
      <c r="G527" s="11">
        <f>IF(OR(A527="",B527=""),"",IF(COUNTIFS($A$6:$A$2005,A527,$B$6:$B$2005,B527)&gt;1,"DUPLICATE",""))</f>
        <v/>
      </c>
    </row>
    <row r="528" spans="1:7">
      <c r="A528" s="9"/>
      <c r="B528" s="12"/>
      <c r="C528" s="10"/>
      <c r="D528" s="10"/>
      <c r="E528" s="10"/>
      <c r="F528" s="9"/>
      <c r="G528" s="11">
        <f>IF(OR(A528="",B528=""),"",IF(COUNTIFS($A$6:$A$2005,A528,$B$6:$B$2005,B528)&gt;1,"DUPLICATE",""))</f>
        <v/>
      </c>
    </row>
    <row r="529" spans="1:7">
      <c r="A529" s="9"/>
      <c r="B529" s="12"/>
      <c r="C529" s="10"/>
      <c r="D529" s="10"/>
      <c r="E529" s="10"/>
      <c r="F529" s="9"/>
      <c r="G529" s="11">
        <f>IF(OR(A529="",B529=""),"",IF(COUNTIFS($A$6:$A$2005,A529,$B$6:$B$2005,B529)&gt;1,"DUPLICATE",""))</f>
        <v/>
      </c>
    </row>
    <row r="530" spans="1:7">
      <c r="A530" s="9"/>
      <c r="B530" s="12"/>
      <c r="C530" s="10"/>
      <c r="D530" s="10"/>
      <c r="E530" s="10"/>
      <c r="F530" s="9"/>
      <c r="G530" s="11">
        <f>IF(OR(A530="",B530=""),"",IF(COUNTIFS($A$6:$A$2005,A530,$B$6:$B$2005,B530)&gt;1,"DUPLICATE",""))</f>
        <v/>
      </c>
    </row>
    <row r="531" spans="1:7">
      <c r="A531" s="9"/>
      <c r="B531" s="12"/>
      <c r="C531" s="10"/>
      <c r="D531" s="10"/>
      <c r="E531" s="10"/>
      <c r="F531" s="9"/>
      <c r="G531" s="11">
        <f>IF(OR(A531="",B531=""),"",IF(COUNTIFS($A$6:$A$2005,A531,$B$6:$B$2005,B531)&gt;1,"DUPLICATE",""))</f>
        <v/>
      </c>
    </row>
    <row r="532" spans="1:7">
      <c r="A532" s="9"/>
      <c r="B532" s="12"/>
      <c r="C532" s="10"/>
      <c r="D532" s="10"/>
      <c r="E532" s="10"/>
      <c r="F532" s="9"/>
      <c r="G532" s="11">
        <f>IF(OR(A532="",B532=""),"",IF(COUNTIFS($A$6:$A$2005,A532,$B$6:$B$2005,B532)&gt;1,"DUPLICATE",""))</f>
        <v/>
      </c>
    </row>
    <row r="533" spans="1:7">
      <c r="A533" s="9"/>
      <c r="B533" s="12"/>
      <c r="C533" s="10"/>
      <c r="D533" s="10"/>
      <c r="E533" s="10"/>
      <c r="F533" s="9"/>
      <c r="G533" s="11">
        <f>IF(OR(A533="",B533=""),"",IF(COUNTIFS($A$6:$A$2005,A533,$B$6:$B$2005,B533)&gt;1,"DUPLICATE",""))</f>
        <v/>
      </c>
    </row>
    <row r="534" spans="1:7">
      <c r="A534" s="9"/>
      <c r="B534" s="12"/>
      <c r="C534" s="10"/>
      <c r="D534" s="10"/>
      <c r="E534" s="10"/>
      <c r="F534" s="9"/>
      <c r="G534" s="11">
        <f>IF(OR(A534="",B534=""),"",IF(COUNTIFS($A$6:$A$2005,A534,$B$6:$B$2005,B534)&gt;1,"DUPLICATE",""))</f>
        <v/>
      </c>
    </row>
    <row r="535" spans="1:7">
      <c r="A535" s="9"/>
      <c r="B535" s="12"/>
      <c r="C535" s="10"/>
      <c r="D535" s="10"/>
      <c r="E535" s="10"/>
      <c r="F535" s="9"/>
      <c r="G535" s="11">
        <f>IF(OR(A535="",B535=""),"",IF(COUNTIFS($A$6:$A$2005,A535,$B$6:$B$2005,B535)&gt;1,"DUPLICATE",""))</f>
        <v/>
      </c>
    </row>
    <row r="536" spans="1:7">
      <c r="A536" s="9"/>
      <c r="B536" s="12"/>
      <c r="C536" s="10"/>
      <c r="D536" s="10"/>
      <c r="E536" s="10"/>
      <c r="F536" s="9"/>
      <c r="G536" s="11">
        <f>IF(OR(A536="",B536=""),"",IF(COUNTIFS($A$6:$A$2005,A536,$B$6:$B$2005,B536)&gt;1,"DUPLICATE",""))</f>
        <v/>
      </c>
    </row>
    <row r="537" spans="1:7">
      <c r="A537" s="9"/>
      <c r="B537" s="12"/>
      <c r="C537" s="10"/>
      <c r="D537" s="10"/>
      <c r="E537" s="10"/>
      <c r="F537" s="9"/>
      <c r="G537" s="11">
        <f>IF(OR(A537="",B537=""),"",IF(COUNTIFS($A$6:$A$2005,A537,$B$6:$B$2005,B537)&gt;1,"DUPLICATE",""))</f>
        <v/>
      </c>
    </row>
    <row r="538" spans="1:7">
      <c r="A538" s="9"/>
      <c r="B538" s="12"/>
      <c r="C538" s="10"/>
      <c r="D538" s="10"/>
      <c r="E538" s="10"/>
      <c r="F538" s="9"/>
      <c r="G538" s="11">
        <f>IF(OR(A538="",B538=""),"",IF(COUNTIFS($A$6:$A$2005,A538,$B$6:$B$2005,B538)&gt;1,"DUPLICATE",""))</f>
        <v/>
      </c>
    </row>
    <row r="539" spans="1:7">
      <c r="A539" s="9"/>
      <c r="B539" s="12"/>
      <c r="C539" s="10"/>
      <c r="D539" s="10"/>
      <c r="E539" s="10"/>
      <c r="F539" s="9"/>
      <c r="G539" s="11">
        <f>IF(OR(A539="",B539=""),"",IF(COUNTIFS($A$6:$A$2005,A539,$B$6:$B$2005,B539)&gt;1,"DUPLICATE",""))</f>
        <v/>
      </c>
    </row>
    <row r="540" spans="1:7">
      <c r="A540" s="9"/>
      <c r="B540" s="12"/>
      <c r="C540" s="10"/>
      <c r="D540" s="10"/>
      <c r="E540" s="10"/>
      <c r="F540" s="9"/>
      <c r="G540" s="11">
        <f>IF(OR(A540="",B540=""),"",IF(COUNTIFS($A$6:$A$2005,A540,$B$6:$B$2005,B540)&gt;1,"DUPLICATE",""))</f>
        <v/>
      </c>
    </row>
    <row r="541" spans="1:7">
      <c r="A541" s="9"/>
      <c r="B541" s="12"/>
      <c r="C541" s="10"/>
      <c r="D541" s="10"/>
      <c r="E541" s="10"/>
      <c r="F541" s="9"/>
      <c r="G541" s="11">
        <f>IF(OR(A541="",B541=""),"",IF(COUNTIFS($A$6:$A$2005,A541,$B$6:$B$2005,B541)&gt;1,"DUPLICATE",""))</f>
        <v/>
      </c>
    </row>
    <row r="542" spans="1:7">
      <c r="A542" s="9"/>
      <c r="B542" s="12"/>
      <c r="C542" s="10"/>
      <c r="D542" s="10"/>
      <c r="E542" s="10"/>
      <c r="F542" s="9"/>
      <c r="G542" s="11">
        <f>IF(OR(A542="",B542=""),"",IF(COUNTIFS($A$6:$A$2005,A542,$B$6:$B$2005,B542)&gt;1,"DUPLICATE",""))</f>
        <v/>
      </c>
    </row>
    <row r="543" spans="1:7">
      <c r="A543" s="9"/>
      <c r="B543" s="12"/>
      <c r="C543" s="10"/>
      <c r="D543" s="10"/>
      <c r="E543" s="10"/>
      <c r="F543" s="9"/>
      <c r="G543" s="11">
        <f>IF(OR(A543="",B543=""),"",IF(COUNTIFS($A$6:$A$2005,A543,$B$6:$B$2005,B543)&gt;1,"DUPLICATE",""))</f>
        <v/>
      </c>
    </row>
    <row r="544" spans="1:7">
      <c r="A544" s="9"/>
      <c r="B544" s="12"/>
      <c r="C544" s="10"/>
      <c r="D544" s="10"/>
      <c r="E544" s="10"/>
      <c r="F544" s="9"/>
      <c r="G544" s="11">
        <f>IF(OR(A544="",B544=""),"",IF(COUNTIFS($A$6:$A$2005,A544,$B$6:$B$2005,B544)&gt;1,"DUPLICATE",""))</f>
        <v/>
      </c>
    </row>
    <row r="545" spans="1:7">
      <c r="A545" s="9"/>
      <c r="B545" s="12"/>
      <c r="C545" s="10"/>
      <c r="D545" s="10"/>
      <c r="E545" s="10"/>
      <c r="F545" s="9"/>
      <c r="G545" s="11">
        <f>IF(OR(A545="",B545=""),"",IF(COUNTIFS($A$6:$A$2005,A545,$B$6:$B$2005,B545)&gt;1,"DUPLICATE",""))</f>
        <v/>
      </c>
    </row>
    <row r="546" spans="1:7">
      <c r="A546" s="9"/>
      <c r="B546" s="12"/>
      <c r="C546" s="10"/>
      <c r="D546" s="10"/>
      <c r="E546" s="10"/>
      <c r="F546" s="9"/>
      <c r="G546" s="11">
        <f>IF(OR(A546="",B546=""),"",IF(COUNTIFS($A$6:$A$2005,A546,$B$6:$B$2005,B546)&gt;1,"DUPLICATE",""))</f>
        <v/>
      </c>
    </row>
    <row r="547" spans="1:7">
      <c r="A547" s="9"/>
      <c r="B547" s="12"/>
      <c r="C547" s="10"/>
      <c r="D547" s="10"/>
      <c r="E547" s="10"/>
      <c r="F547" s="9"/>
      <c r="G547" s="11">
        <f>IF(OR(A547="",B547=""),"",IF(COUNTIFS($A$6:$A$2005,A547,$B$6:$B$2005,B547)&gt;1,"DUPLICATE",""))</f>
        <v/>
      </c>
    </row>
    <row r="548" spans="1:7">
      <c r="A548" s="9"/>
      <c r="B548" s="12"/>
      <c r="C548" s="10"/>
      <c r="D548" s="10"/>
      <c r="E548" s="10"/>
      <c r="F548" s="9"/>
      <c r="G548" s="11">
        <f>IF(OR(A548="",B548=""),"",IF(COUNTIFS($A$6:$A$2005,A548,$B$6:$B$2005,B548)&gt;1,"DUPLICATE",""))</f>
        <v/>
      </c>
    </row>
    <row r="549" spans="1:7">
      <c r="A549" s="9"/>
      <c r="B549" s="12"/>
      <c r="C549" s="10"/>
      <c r="D549" s="10"/>
      <c r="E549" s="10"/>
      <c r="F549" s="9"/>
      <c r="G549" s="11">
        <f>IF(OR(A549="",B549=""),"",IF(COUNTIFS($A$6:$A$2005,A549,$B$6:$B$2005,B549)&gt;1,"DUPLICATE",""))</f>
        <v/>
      </c>
    </row>
    <row r="550" spans="1:7">
      <c r="A550" s="9"/>
      <c r="B550" s="12"/>
      <c r="C550" s="10"/>
      <c r="D550" s="10"/>
      <c r="E550" s="10"/>
      <c r="F550" s="9"/>
      <c r="G550" s="11">
        <f>IF(OR(A550="",B550=""),"",IF(COUNTIFS($A$6:$A$2005,A550,$B$6:$B$2005,B550)&gt;1,"DUPLICATE",""))</f>
        <v/>
      </c>
    </row>
    <row r="551" spans="1:7">
      <c r="A551" s="9"/>
      <c r="B551" s="12"/>
      <c r="C551" s="10"/>
      <c r="D551" s="10"/>
      <c r="E551" s="10"/>
      <c r="F551" s="9"/>
      <c r="G551" s="11">
        <f>IF(OR(A551="",B551=""),"",IF(COUNTIFS($A$6:$A$2005,A551,$B$6:$B$2005,B551)&gt;1,"DUPLICATE",""))</f>
        <v/>
      </c>
    </row>
    <row r="552" spans="1:7">
      <c r="A552" s="9"/>
      <c r="B552" s="12"/>
      <c r="C552" s="10"/>
      <c r="D552" s="10"/>
      <c r="E552" s="10"/>
      <c r="F552" s="9"/>
      <c r="G552" s="11">
        <f>IF(OR(A552="",B552=""),"",IF(COUNTIFS($A$6:$A$2005,A552,$B$6:$B$2005,B552)&gt;1,"DUPLICATE",""))</f>
        <v/>
      </c>
    </row>
    <row r="553" spans="1:7">
      <c r="A553" s="9"/>
      <c r="B553" s="12"/>
      <c r="C553" s="10"/>
      <c r="D553" s="10"/>
      <c r="E553" s="10"/>
      <c r="F553" s="9"/>
      <c r="G553" s="11">
        <f>IF(OR(A553="",B553=""),"",IF(COUNTIFS($A$6:$A$2005,A553,$B$6:$B$2005,B553)&gt;1,"DUPLICATE",""))</f>
        <v/>
      </c>
    </row>
    <row r="554" spans="1:7">
      <c r="A554" s="9"/>
      <c r="B554" s="12"/>
      <c r="C554" s="10"/>
      <c r="D554" s="10"/>
      <c r="E554" s="10"/>
      <c r="F554" s="9"/>
      <c r="G554" s="11">
        <f>IF(OR(A554="",B554=""),"",IF(COUNTIFS($A$6:$A$2005,A554,$B$6:$B$2005,B554)&gt;1,"DUPLICATE",""))</f>
        <v/>
      </c>
    </row>
    <row r="555" spans="1:7">
      <c r="A555" s="9"/>
      <c r="B555" s="12"/>
      <c r="C555" s="10"/>
      <c r="D555" s="10"/>
      <c r="E555" s="10"/>
      <c r="F555" s="9"/>
      <c r="G555" s="11">
        <f>IF(OR(A555="",B555=""),"",IF(COUNTIFS($A$6:$A$2005,A555,$B$6:$B$2005,B555)&gt;1,"DUPLICATE",""))</f>
        <v/>
      </c>
    </row>
    <row r="556" spans="1:7">
      <c r="A556" s="9"/>
      <c r="B556" s="12"/>
      <c r="C556" s="10"/>
      <c r="D556" s="10"/>
      <c r="E556" s="10"/>
      <c r="F556" s="9"/>
      <c r="G556" s="11">
        <f>IF(OR(A556="",B556=""),"",IF(COUNTIFS($A$6:$A$2005,A556,$B$6:$B$2005,B556)&gt;1,"DUPLICATE",""))</f>
        <v/>
      </c>
    </row>
    <row r="557" spans="1:7">
      <c r="A557" s="9"/>
      <c r="B557" s="12"/>
      <c r="C557" s="10"/>
      <c r="D557" s="10"/>
      <c r="E557" s="10"/>
      <c r="F557" s="9"/>
      <c r="G557" s="11">
        <f>IF(OR(A557="",B557=""),"",IF(COUNTIFS($A$6:$A$2005,A557,$B$6:$B$2005,B557)&gt;1,"DUPLICATE",""))</f>
        <v/>
      </c>
    </row>
    <row r="558" spans="1:7">
      <c r="A558" s="9"/>
      <c r="B558" s="12"/>
      <c r="C558" s="10"/>
      <c r="D558" s="10"/>
      <c r="E558" s="10"/>
      <c r="F558" s="9"/>
      <c r="G558" s="11">
        <f>IF(OR(A558="",B558=""),"",IF(COUNTIFS($A$6:$A$2005,A558,$B$6:$B$2005,B558)&gt;1,"DUPLICATE",""))</f>
        <v/>
      </c>
    </row>
    <row r="559" spans="1:7">
      <c r="A559" s="9"/>
      <c r="B559" s="12"/>
      <c r="C559" s="10"/>
      <c r="D559" s="10"/>
      <c r="E559" s="10"/>
      <c r="F559" s="9"/>
      <c r="G559" s="11">
        <f>IF(OR(A559="",B559=""),"",IF(COUNTIFS($A$6:$A$2005,A559,$B$6:$B$2005,B559)&gt;1,"DUPLICATE",""))</f>
        <v/>
      </c>
    </row>
    <row r="560" spans="1:7">
      <c r="A560" s="9"/>
      <c r="B560" s="12"/>
      <c r="C560" s="10"/>
      <c r="D560" s="10"/>
      <c r="E560" s="10"/>
      <c r="F560" s="9"/>
      <c r="G560" s="11">
        <f>IF(OR(A560="",B560=""),"",IF(COUNTIFS($A$6:$A$2005,A560,$B$6:$B$2005,B560)&gt;1,"DUPLICATE",""))</f>
        <v/>
      </c>
    </row>
    <row r="561" spans="1:7">
      <c r="A561" s="9"/>
      <c r="B561" s="12"/>
      <c r="C561" s="10"/>
      <c r="D561" s="10"/>
      <c r="E561" s="10"/>
      <c r="F561" s="9"/>
      <c r="G561" s="11">
        <f>IF(OR(A561="",B561=""),"",IF(COUNTIFS($A$6:$A$2005,A561,$B$6:$B$2005,B561)&gt;1,"DUPLICATE",""))</f>
        <v/>
      </c>
    </row>
    <row r="562" spans="1:7">
      <c r="A562" s="9"/>
      <c r="B562" s="12"/>
      <c r="C562" s="10"/>
      <c r="D562" s="10"/>
      <c r="E562" s="10"/>
      <c r="F562" s="9"/>
      <c r="G562" s="11">
        <f>IF(OR(A562="",B562=""),"",IF(COUNTIFS($A$6:$A$2005,A562,$B$6:$B$2005,B562)&gt;1,"DUPLICATE",""))</f>
        <v/>
      </c>
    </row>
    <row r="563" spans="1:7">
      <c r="A563" s="9"/>
      <c r="B563" s="12"/>
      <c r="C563" s="10"/>
      <c r="D563" s="10"/>
      <c r="E563" s="10"/>
      <c r="F563" s="9"/>
      <c r="G563" s="11">
        <f>IF(OR(A563="",B563=""),"",IF(COUNTIFS($A$6:$A$2005,A563,$B$6:$B$2005,B563)&gt;1,"DUPLICATE",""))</f>
        <v/>
      </c>
    </row>
    <row r="564" spans="1:7">
      <c r="A564" s="9"/>
      <c r="B564" s="12"/>
      <c r="C564" s="10"/>
      <c r="D564" s="10"/>
      <c r="E564" s="10"/>
      <c r="F564" s="9"/>
      <c r="G564" s="11">
        <f>IF(OR(A564="",B564=""),"",IF(COUNTIFS($A$6:$A$2005,A564,$B$6:$B$2005,B564)&gt;1,"DUPLICATE",""))</f>
        <v/>
      </c>
    </row>
    <row r="565" spans="1:7">
      <c r="A565" s="9"/>
      <c r="B565" s="12"/>
      <c r="C565" s="10"/>
      <c r="D565" s="10"/>
      <c r="E565" s="10"/>
      <c r="F565" s="9"/>
      <c r="G565" s="11">
        <f>IF(OR(A565="",B565=""),"",IF(COUNTIFS($A$6:$A$2005,A565,$B$6:$B$2005,B565)&gt;1,"DUPLICATE",""))</f>
        <v/>
      </c>
    </row>
    <row r="566" spans="1:7">
      <c r="A566" s="9"/>
      <c r="B566" s="12"/>
      <c r="C566" s="10"/>
      <c r="D566" s="10"/>
      <c r="E566" s="10"/>
      <c r="F566" s="9"/>
      <c r="G566" s="11">
        <f>IF(OR(A566="",B566=""),"",IF(COUNTIFS($A$6:$A$2005,A566,$B$6:$B$2005,B566)&gt;1,"DUPLICATE",""))</f>
        <v/>
      </c>
    </row>
    <row r="567" spans="1:7">
      <c r="A567" s="9"/>
      <c r="B567" s="12"/>
      <c r="C567" s="10"/>
      <c r="D567" s="10"/>
      <c r="E567" s="10"/>
      <c r="F567" s="9"/>
      <c r="G567" s="11">
        <f>IF(OR(A567="",B567=""),"",IF(COUNTIFS($A$6:$A$2005,A567,$B$6:$B$2005,B567)&gt;1,"DUPLICATE",""))</f>
        <v/>
      </c>
    </row>
    <row r="568" spans="1:7">
      <c r="A568" s="9"/>
      <c r="B568" s="12"/>
      <c r="C568" s="10"/>
      <c r="D568" s="10"/>
      <c r="E568" s="10"/>
      <c r="F568" s="9"/>
      <c r="G568" s="11">
        <f>IF(OR(A568="",B568=""),"",IF(COUNTIFS($A$6:$A$2005,A568,$B$6:$B$2005,B568)&gt;1,"DUPLICATE",""))</f>
        <v/>
      </c>
    </row>
    <row r="569" spans="1:7">
      <c r="A569" s="9"/>
      <c r="B569" s="12"/>
      <c r="C569" s="10"/>
      <c r="D569" s="10"/>
      <c r="E569" s="10"/>
      <c r="F569" s="9"/>
      <c r="G569" s="11">
        <f>IF(OR(A569="",B569=""),"",IF(COUNTIFS($A$6:$A$2005,A569,$B$6:$B$2005,B569)&gt;1,"DUPLICATE",""))</f>
        <v/>
      </c>
    </row>
    <row r="570" spans="1:7">
      <c r="A570" s="9"/>
      <c r="B570" s="12"/>
      <c r="C570" s="10"/>
      <c r="D570" s="10"/>
      <c r="E570" s="10"/>
      <c r="F570" s="9"/>
      <c r="G570" s="11">
        <f>IF(OR(A570="",B570=""),"",IF(COUNTIFS($A$6:$A$2005,A570,$B$6:$B$2005,B570)&gt;1,"DUPLICATE",""))</f>
        <v/>
      </c>
    </row>
    <row r="571" spans="1:7">
      <c r="A571" s="9"/>
      <c r="B571" s="12"/>
      <c r="C571" s="10"/>
      <c r="D571" s="10"/>
      <c r="E571" s="10"/>
      <c r="F571" s="9"/>
      <c r="G571" s="11">
        <f>IF(OR(A571="",B571=""),"",IF(COUNTIFS($A$6:$A$2005,A571,$B$6:$B$2005,B571)&gt;1,"DUPLICATE",""))</f>
        <v/>
      </c>
    </row>
    <row r="572" spans="1:7">
      <c r="A572" s="9"/>
      <c r="B572" s="12"/>
      <c r="C572" s="10"/>
      <c r="D572" s="10"/>
      <c r="E572" s="10"/>
      <c r="F572" s="9"/>
      <c r="G572" s="11">
        <f>IF(OR(A572="",B572=""),"",IF(COUNTIFS($A$6:$A$2005,A572,$B$6:$B$2005,B572)&gt;1,"DUPLICATE",""))</f>
        <v/>
      </c>
    </row>
    <row r="573" spans="1:7">
      <c r="A573" s="9"/>
      <c r="B573" s="12"/>
      <c r="C573" s="10"/>
      <c r="D573" s="10"/>
      <c r="E573" s="10"/>
      <c r="F573" s="9"/>
      <c r="G573" s="11">
        <f>IF(OR(A573="",B573=""),"",IF(COUNTIFS($A$6:$A$2005,A573,$B$6:$B$2005,B573)&gt;1,"DUPLICATE",""))</f>
        <v/>
      </c>
    </row>
    <row r="574" spans="1:7">
      <c r="A574" s="9"/>
      <c r="B574" s="12"/>
      <c r="C574" s="10"/>
      <c r="D574" s="10"/>
      <c r="E574" s="10"/>
      <c r="F574" s="9"/>
      <c r="G574" s="11">
        <f>IF(OR(A574="",B574=""),"",IF(COUNTIFS($A$6:$A$2005,A574,$B$6:$B$2005,B574)&gt;1,"DUPLICATE",""))</f>
        <v/>
      </c>
    </row>
    <row r="575" spans="1:7">
      <c r="A575" s="9"/>
      <c r="B575" s="12"/>
      <c r="C575" s="10"/>
      <c r="D575" s="10"/>
      <c r="E575" s="10"/>
      <c r="F575" s="9"/>
      <c r="G575" s="11">
        <f>IF(OR(A575="",B575=""),"",IF(COUNTIFS($A$6:$A$2005,A575,$B$6:$B$2005,B575)&gt;1,"DUPLICATE",""))</f>
        <v/>
      </c>
    </row>
    <row r="576" spans="1:7">
      <c r="A576" s="9"/>
      <c r="B576" s="12"/>
      <c r="C576" s="10"/>
      <c r="D576" s="10"/>
      <c r="E576" s="10"/>
      <c r="F576" s="9"/>
      <c r="G576" s="11">
        <f>IF(OR(A576="",B576=""),"",IF(COUNTIFS($A$6:$A$2005,A576,$B$6:$B$2005,B576)&gt;1,"DUPLICATE",""))</f>
        <v/>
      </c>
    </row>
    <row r="577" spans="1:7">
      <c r="A577" s="9"/>
      <c r="B577" s="12"/>
      <c r="C577" s="10"/>
      <c r="D577" s="10"/>
      <c r="E577" s="10"/>
      <c r="F577" s="9"/>
      <c r="G577" s="11">
        <f>IF(OR(A577="",B577=""),"",IF(COUNTIFS($A$6:$A$2005,A577,$B$6:$B$2005,B577)&gt;1,"DUPLICATE",""))</f>
        <v/>
      </c>
    </row>
    <row r="578" spans="1:7">
      <c r="A578" s="9"/>
      <c r="B578" s="12"/>
      <c r="C578" s="10"/>
      <c r="D578" s="10"/>
      <c r="E578" s="10"/>
      <c r="F578" s="9"/>
      <c r="G578" s="11">
        <f>IF(OR(A578="",B578=""),"",IF(COUNTIFS($A$6:$A$2005,A578,$B$6:$B$2005,B578)&gt;1,"DUPLICATE",""))</f>
        <v/>
      </c>
    </row>
    <row r="579" spans="1:7">
      <c r="A579" s="9"/>
      <c r="B579" s="12"/>
      <c r="C579" s="10"/>
      <c r="D579" s="10"/>
      <c r="E579" s="10"/>
      <c r="F579" s="9"/>
      <c r="G579" s="11">
        <f>IF(OR(A579="",B579=""),"",IF(COUNTIFS($A$6:$A$2005,A579,$B$6:$B$2005,B579)&gt;1,"DUPLICATE",""))</f>
        <v/>
      </c>
    </row>
    <row r="580" spans="1:7">
      <c r="A580" s="9"/>
      <c r="B580" s="12"/>
      <c r="C580" s="10"/>
      <c r="D580" s="10"/>
      <c r="E580" s="10"/>
      <c r="F580" s="9"/>
      <c r="G580" s="11">
        <f>IF(OR(A580="",B580=""),"",IF(COUNTIFS($A$6:$A$2005,A580,$B$6:$B$2005,B580)&gt;1,"DUPLICATE",""))</f>
        <v/>
      </c>
    </row>
    <row r="581" spans="1:7">
      <c r="A581" s="9"/>
      <c r="B581" s="12"/>
      <c r="C581" s="10"/>
      <c r="D581" s="10"/>
      <c r="E581" s="10"/>
      <c r="F581" s="9"/>
      <c r="G581" s="11">
        <f>IF(OR(A581="",B581=""),"",IF(COUNTIFS($A$6:$A$2005,A581,$B$6:$B$2005,B581)&gt;1,"DUPLICATE",""))</f>
        <v/>
      </c>
    </row>
    <row r="582" spans="1:7">
      <c r="A582" s="9"/>
      <c r="B582" s="12"/>
      <c r="C582" s="10"/>
      <c r="D582" s="10"/>
      <c r="E582" s="10"/>
      <c r="F582" s="9"/>
      <c r="G582" s="11">
        <f>IF(OR(A582="",B582=""),"",IF(COUNTIFS($A$6:$A$2005,A582,$B$6:$B$2005,B582)&gt;1,"DUPLICATE",""))</f>
        <v/>
      </c>
    </row>
    <row r="583" spans="1:7">
      <c r="A583" s="9"/>
      <c r="B583" s="12"/>
      <c r="C583" s="10"/>
      <c r="D583" s="10"/>
      <c r="E583" s="10"/>
      <c r="F583" s="9"/>
      <c r="G583" s="11">
        <f>IF(OR(A583="",B583=""),"",IF(COUNTIFS($A$6:$A$2005,A583,$B$6:$B$2005,B583)&gt;1,"DUPLICATE",""))</f>
        <v/>
      </c>
    </row>
    <row r="584" spans="1:7">
      <c r="A584" s="9"/>
      <c r="B584" s="12"/>
      <c r="C584" s="10"/>
      <c r="D584" s="10"/>
      <c r="E584" s="10"/>
      <c r="F584" s="9"/>
      <c r="G584" s="11">
        <f>IF(OR(A584="",B584=""),"",IF(COUNTIFS($A$6:$A$2005,A584,$B$6:$B$2005,B584)&gt;1,"DUPLICATE",""))</f>
        <v/>
      </c>
    </row>
    <row r="585" spans="1:7">
      <c r="A585" s="9"/>
      <c r="B585" s="12"/>
      <c r="C585" s="10"/>
      <c r="D585" s="10"/>
      <c r="E585" s="10"/>
      <c r="F585" s="9"/>
      <c r="G585" s="11">
        <f>IF(OR(A585="",B585=""),"",IF(COUNTIFS($A$6:$A$2005,A585,$B$6:$B$2005,B585)&gt;1,"DUPLICATE",""))</f>
        <v/>
      </c>
    </row>
    <row r="586" spans="1:7">
      <c r="A586" s="9"/>
      <c r="B586" s="12"/>
      <c r="C586" s="10"/>
      <c r="D586" s="10"/>
      <c r="E586" s="10"/>
      <c r="F586" s="9"/>
      <c r="G586" s="11">
        <f>IF(OR(A586="",B586=""),"",IF(COUNTIFS($A$6:$A$2005,A586,$B$6:$B$2005,B586)&gt;1,"DUPLICATE",""))</f>
        <v/>
      </c>
    </row>
    <row r="587" spans="1:7">
      <c r="A587" s="9"/>
      <c r="B587" s="12"/>
      <c r="C587" s="10"/>
      <c r="D587" s="10"/>
      <c r="E587" s="10"/>
      <c r="F587" s="9"/>
      <c r="G587" s="11">
        <f>IF(OR(A587="",B587=""),"",IF(COUNTIFS($A$6:$A$2005,A587,$B$6:$B$2005,B587)&gt;1,"DUPLICATE",""))</f>
        <v/>
      </c>
    </row>
    <row r="588" spans="1:7">
      <c r="A588" s="9"/>
      <c r="B588" s="12"/>
      <c r="C588" s="10"/>
      <c r="D588" s="10"/>
      <c r="E588" s="10"/>
      <c r="F588" s="9"/>
      <c r="G588" s="11">
        <f>IF(OR(A588="",B588=""),"",IF(COUNTIFS($A$6:$A$2005,A588,$B$6:$B$2005,B588)&gt;1,"DUPLICATE",""))</f>
        <v/>
      </c>
    </row>
    <row r="589" spans="1:7">
      <c r="A589" s="9"/>
      <c r="B589" s="12"/>
      <c r="C589" s="10"/>
      <c r="D589" s="10"/>
      <c r="E589" s="10"/>
      <c r="F589" s="9"/>
      <c r="G589" s="11">
        <f>IF(OR(A589="",B589=""),"",IF(COUNTIFS($A$6:$A$2005,A589,$B$6:$B$2005,B589)&gt;1,"DUPLICATE",""))</f>
        <v/>
      </c>
    </row>
    <row r="590" spans="1:7">
      <c r="A590" s="9"/>
      <c r="B590" s="12"/>
      <c r="C590" s="10"/>
      <c r="D590" s="10"/>
      <c r="E590" s="10"/>
      <c r="F590" s="9"/>
      <c r="G590" s="11">
        <f>IF(OR(A590="",B590=""),"",IF(COUNTIFS($A$6:$A$2005,A590,$B$6:$B$2005,B590)&gt;1,"DUPLICATE",""))</f>
        <v/>
      </c>
    </row>
    <row r="591" spans="1:7">
      <c r="A591" s="9"/>
      <c r="B591" s="12"/>
      <c r="C591" s="10"/>
      <c r="D591" s="10"/>
      <c r="E591" s="10"/>
      <c r="F591" s="9"/>
      <c r="G591" s="11">
        <f>IF(OR(A591="",B591=""),"",IF(COUNTIFS($A$6:$A$2005,A591,$B$6:$B$2005,B591)&gt;1,"DUPLICATE",""))</f>
        <v/>
      </c>
    </row>
    <row r="592" spans="1:7">
      <c r="A592" s="9"/>
      <c r="B592" s="12"/>
      <c r="C592" s="10"/>
      <c r="D592" s="10"/>
      <c r="E592" s="10"/>
      <c r="F592" s="9"/>
      <c r="G592" s="11">
        <f>IF(OR(A592="",B592=""),"",IF(COUNTIFS($A$6:$A$2005,A592,$B$6:$B$2005,B592)&gt;1,"DUPLICATE",""))</f>
        <v/>
      </c>
    </row>
    <row r="593" spans="1:7">
      <c r="A593" s="9"/>
      <c r="B593" s="12"/>
      <c r="C593" s="10"/>
      <c r="D593" s="10"/>
      <c r="E593" s="10"/>
      <c r="F593" s="9"/>
      <c r="G593" s="11">
        <f>IF(OR(A593="",B593=""),"",IF(COUNTIFS($A$6:$A$2005,A593,$B$6:$B$2005,B593)&gt;1,"DUPLICATE",""))</f>
        <v/>
      </c>
    </row>
    <row r="594" spans="1:7">
      <c r="A594" s="9"/>
      <c r="B594" s="12"/>
      <c r="C594" s="10"/>
      <c r="D594" s="10"/>
      <c r="E594" s="10"/>
      <c r="F594" s="9"/>
      <c r="G594" s="11">
        <f>IF(OR(A594="",B594=""),"",IF(COUNTIFS($A$6:$A$2005,A594,$B$6:$B$2005,B594)&gt;1,"DUPLICATE",""))</f>
        <v/>
      </c>
    </row>
    <row r="595" spans="1:7">
      <c r="A595" s="9"/>
      <c r="B595" s="12"/>
      <c r="C595" s="10"/>
      <c r="D595" s="10"/>
      <c r="E595" s="10"/>
      <c r="F595" s="9"/>
      <c r="G595" s="11">
        <f>IF(OR(A595="",B595=""),"",IF(COUNTIFS($A$6:$A$2005,A595,$B$6:$B$2005,B595)&gt;1,"DUPLICATE",""))</f>
        <v/>
      </c>
    </row>
    <row r="596" spans="1:7">
      <c r="A596" s="9"/>
      <c r="B596" s="12"/>
      <c r="C596" s="10"/>
      <c r="D596" s="10"/>
      <c r="E596" s="10"/>
      <c r="F596" s="9"/>
      <c r="G596" s="11">
        <f>IF(OR(A596="",B596=""),"",IF(COUNTIFS($A$6:$A$2005,A596,$B$6:$B$2005,B596)&gt;1,"DUPLICATE",""))</f>
        <v/>
      </c>
    </row>
    <row r="597" spans="1:7">
      <c r="A597" s="9"/>
      <c r="B597" s="12"/>
      <c r="C597" s="10"/>
      <c r="D597" s="10"/>
      <c r="E597" s="10"/>
      <c r="F597" s="9"/>
      <c r="G597" s="11">
        <f>IF(OR(A597="",B597=""),"",IF(COUNTIFS($A$6:$A$2005,A597,$B$6:$B$2005,B597)&gt;1,"DUPLICATE",""))</f>
        <v/>
      </c>
    </row>
    <row r="598" spans="1:7">
      <c r="A598" s="9"/>
      <c r="B598" s="12"/>
      <c r="C598" s="10"/>
      <c r="D598" s="10"/>
      <c r="E598" s="10"/>
      <c r="F598" s="9"/>
      <c r="G598" s="11">
        <f>IF(OR(A598="",B598=""),"",IF(COUNTIFS($A$6:$A$2005,A598,$B$6:$B$2005,B598)&gt;1,"DUPLICATE",""))</f>
        <v/>
      </c>
    </row>
    <row r="599" spans="1:7">
      <c r="A599" s="9"/>
      <c r="B599" s="12"/>
      <c r="C599" s="10"/>
      <c r="D599" s="10"/>
      <c r="E599" s="10"/>
      <c r="F599" s="9"/>
      <c r="G599" s="11">
        <f>IF(OR(A599="",B599=""),"",IF(COUNTIFS($A$6:$A$2005,A599,$B$6:$B$2005,B599)&gt;1,"DUPLICATE",""))</f>
        <v/>
      </c>
    </row>
    <row r="600" spans="1:7">
      <c r="A600" s="9"/>
      <c r="B600" s="12"/>
      <c r="C600" s="10"/>
      <c r="D600" s="10"/>
      <c r="E600" s="10"/>
      <c r="F600" s="9"/>
      <c r="G600" s="11">
        <f>IF(OR(A600="",B600=""),"",IF(COUNTIFS($A$6:$A$2005,A600,$B$6:$B$2005,B600)&gt;1,"DUPLICATE",""))</f>
        <v/>
      </c>
    </row>
    <row r="601" spans="1:7">
      <c r="A601" s="9"/>
      <c r="B601" s="12"/>
      <c r="C601" s="10"/>
      <c r="D601" s="10"/>
      <c r="E601" s="10"/>
      <c r="F601" s="9"/>
      <c r="G601" s="11">
        <f>IF(OR(A601="",B601=""),"",IF(COUNTIFS($A$6:$A$2005,A601,$B$6:$B$2005,B601)&gt;1,"DUPLICATE",""))</f>
        <v/>
      </c>
    </row>
    <row r="602" spans="1:7">
      <c r="A602" s="9"/>
      <c r="B602" s="12"/>
      <c r="C602" s="10"/>
      <c r="D602" s="10"/>
      <c r="E602" s="10"/>
      <c r="F602" s="9"/>
      <c r="G602" s="11">
        <f>IF(OR(A602="",B602=""),"",IF(COUNTIFS($A$6:$A$2005,A602,$B$6:$B$2005,B602)&gt;1,"DUPLICATE",""))</f>
        <v/>
      </c>
    </row>
    <row r="603" spans="1:7">
      <c r="A603" s="9"/>
      <c r="B603" s="12"/>
      <c r="C603" s="10"/>
      <c r="D603" s="10"/>
      <c r="E603" s="10"/>
      <c r="F603" s="9"/>
      <c r="G603" s="11">
        <f>IF(OR(A603="",B603=""),"",IF(COUNTIFS($A$6:$A$2005,A603,$B$6:$B$2005,B603)&gt;1,"DUPLICATE",""))</f>
        <v/>
      </c>
    </row>
    <row r="604" spans="1:7">
      <c r="A604" s="9"/>
      <c r="B604" s="12"/>
      <c r="C604" s="10"/>
      <c r="D604" s="10"/>
      <c r="E604" s="10"/>
      <c r="F604" s="9"/>
      <c r="G604" s="11">
        <f>IF(OR(A604="",B604=""),"",IF(COUNTIFS($A$6:$A$2005,A604,$B$6:$B$2005,B604)&gt;1,"DUPLICATE",""))</f>
        <v/>
      </c>
    </row>
    <row r="605" spans="1:7">
      <c r="A605" s="9"/>
      <c r="B605" s="12"/>
      <c r="C605" s="10"/>
      <c r="D605" s="10"/>
      <c r="E605" s="10"/>
      <c r="F605" s="9"/>
      <c r="G605" s="11">
        <f>IF(OR(A605="",B605=""),"",IF(COUNTIFS($A$6:$A$2005,A605,$B$6:$B$2005,B605)&gt;1,"DUPLICATE",""))</f>
        <v/>
      </c>
    </row>
    <row r="606" spans="1:7">
      <c r="A606" s="9"/>
      <c r="B606" s="12"/>
      <c r="C606" s="10"/>
      <c r="D606" s="10"/>
      <c r="E606" s="10"/>
      <c r="F606" s="9"/>
      <c r="G606" s="11">
        <f>IF(OR(A606="",B606=""),"",IF(COUNTIFS($A$6:$A$2005,A606,$B$6:$B$2005,B606)&gt;1,"DUPLICATE",""))</f>
        <v/>
      </c>
    </row>
    <row r="607" spans="1:7">
      <c r="A607" s="9"/>
      <c r="B607" s="12"/>
      <c r="C607" s="10"/>
      <c r="D607" s="10"/>
      <c r="E607" s="10"/>
      <c r="F607" s="9"/>
      <c r="G607" s="11">
        <f>IF(OR(A607="",B607=""),"",IF(COUNTIFS($A$6:$A$2005,A607,$B$6:$B$2005,B607)&gt;1,"DUPLICATE",""))</f>
        <v/>
      </c>
    </row>
    <row r="608" spans="1:7">
      <c r="A608" s="9"/>
      <c r="B608" s="12"/>
      <c r="C608" s="10"/>
      <c r="D608" s="10"/>
      <c r="E608" s="10"/>
      <c r="F608" s="9"/>
      <c r="G608" s="11">
        <f>IF(OR(A608="",B608=""),"",IF(COUNTIFS($A$6:$A$2005,A608,$B$6:$B$2005,B608)&gt;1,"DUPLICATE",""))</f>
        <v/>
      </c>
    </row>
    <row r="609" spans="1:7">
      <c r="A609" s="9"/>
      <c r="B609" s="12"/>
      <c r="C609" s="10"/>
      <c r="D609" s="10"/>
      <c r="E609" s="10"/>
      <c r="F609" s="9"/>
      <c r="G609" s="11">
        <f>IF(OR(A609="",B609=""),"",IF(COUNTIFS($A$6:$A$2005,A609,$B$6:$B$2005,B609)&gt;1,"DUPLICATE",""))</f>
        <v/>
      </c>
    </row>
    <row r="610" spans="1:7">
      <c r="A610" s="9"/>
      <c r="B610" s="12"/>
      <c r="C610" s="10"/>
      <c r="D610" s="10"/>
      <c r="E610" s="10"/>
      <c r="F610" s="9"/>
      <c r="G610" s="11">
        <f>IF(OR(A610="",B610=""),"",IF(COUNTIFS($A$6:$A$2005,A610,$B$6:$B$2005,B610)&gt;1,"DUPLICATE",""))</f>
        <v/>
      </c>
    </row>
    <row r="611" spans="1:7">
      <c r="A611" s="9"/>
      <c r="B611" s="12"/>
      <c r="C611" s="10"/>
      <c r="D611" s="10"/>
      <c r="E611" s="10"/>
      <c r="F611" s="9"/>
      <c r="G611" s="11">
        <f>IF(OR(A611="",B611=""),"",IF(COUNTIFS($A$6:$A$2005,A611,$B$6:$B$2005,B611)&gt;1,"DUPLICATE",""))</f>
        <v/>
      </c>
    </row>
    <row r="612" spans="1:7">
      <c r="A612" s="9"/>
      <c r="B612" s="12"/>
      <c r="C612" s="10"/>
      <c r="D612" s="10"/>
      <c r="E612" s="10"/>
      <c r="F612" s="9"/>
      <c r="G612" s="11">
        <f>IF(OR(A612="",B612=""),"",IF(COUNTIFS($A$6:$A$2005,A612,$B$6:$B$2005,B612)&gt;1,"DUPLICATE",""))</f>
        <v/>
      </c>
    </row>
    <row r="613" spans="1:7">
      <c r="A613" s="9"/>
      <c r="B613" s="12"/>
      <c r="C613" s="10"/>
      <c r="D613" s="10"/>
      <c r="E613" s="10"/>
      <c r="F613" s="9"/>
      <c r="G613" s="11">
        <f>IF(OR(A613="",B613=""),"",IF(COUNTIFS($A$6:$A$2005,A613,$B$6:$B$2005,B613)&gt;1,"DUPLICATE",""))</f>
        <v/>
      </c>
    </row>
    <row r="614" spans="1:7">
      <c r="A614" s="9"/>
      <c r="B614" s="12"/>
      <c r="C614" s="10"/>
      <c r="D614" s="10"/>
      <c r="E614" s="10"/>
      <c r="F614" s="9"/>
      <c r="G614" s="11">
        <f>IF(OR(A614="",B614=""),"",IF(COUNTIFS($A$6:$A$2005,A614,$B$6:$B$2005,B614)&gt;1,"DUPLICATE",""))</f>
        <v/>
      </c>
    </row>
    <row r="615" spans="1:7">
      <c r="A615" s="9"/>
      <c r="B615" s="12"/>
      <c r="C615" s="10"/>
      <c r="D615" s="10"/>
      <c r="E615" s="10"/>
      <c r="F615" s="9"/>
      <c r="G615" s="11">
        <f>IF(OR(A615="",B615=""),"",IF(COUNTIFS($A$6:$A$2005,A615,$B$6:$B$2005,B615)&gt;1,"DUPLICATE",""))</f>
        <v/>
      </c>
    </row>
    <row r="616" spans="1:7">
      <c r="A616" s="9"/>
      <c r="B616" s="12"/>
      <c r="C616" s="10"/>
      <c r="D616" s="10"/>
      <c r="E616" s="10"/>
      <c r="F616" s="9"/>
      <c r="G616" s="11">
        <f>IF(OR(A616="",B616=""),"",IF(COUNTIFS($A$6:$A$2005,A616,$B$6:$B$2005,B616)&gt;1,"DUPLICATE",""))</f>
        <v/>
      </c>
    </row>
    <row r="617" spans="1:7">
      <c r="A617" s="9"/>
      <c r="B617" s="12"/>
      <c r="C617" s="10"/>
      <c r="D617" s="10"/>
      <c r="E617" s="10"/>
      <c r="F617" s="9"/>
      <c r="G617" s="11">
        <f>IF(OR(A617="",B617=""),"",IF(COUNTIFS($A$6:$A$2005,A617,$B$6:$B$2005,B617)&gt;1,"DUPLICATE",""))</f>
        <v/>
      </c>
    </row>
    <row r="618" spans="1:7">
      <c r="A618" s="9"/>
      <c r="B618" s="12"/>
      <c r="C618" s="10"/>
      <c r="D618" s="10"/>
      <c r="E618" s="10"/>
      <c r="F618" s="9"/>
      <c r="G618" s="11">
        <f>IF(OR(A618="",B618=""),"",IF(COUNTIFS($A$6:$A$2005,A618,$B$6:$B$2005,B618)&gt;1,"DUPLICATE",""))</f>
        <v/>
      </c>
    </row>
    <row r="619" spans="1:7">
      <c r="A619" s="9"/>
      <c r="B619" s="12"/>
      <c r="C619" s="10"/>
      <c r="D619" s="10"/>
      <c r="E619" s="10"/>
      <c r="F619" s="9"/>
      <c r="G619" s="11">
        <f>IF(OR(A619="",B619=""),"",IF(COUNTIFS($A$6:$A$2005,A619,$B$6:$B$2005,B619)&gt;1,"DUPLICATE",""))</f>
        <v/>
      </c>
    </row>
    <row r="620" spans="1:7">
      <c r="A620" s="9"/>
      <c r="B620" s="12"/>
      <c r="C620" s="10"/>
      <c r="D620" s="10"/>
      <c r="E620" s="10"/>
      <c r="F620" s="9"/>
      <c r="G620" s="11">
        <f>IF(OR(A620="",B620=""),"",IF(COUNTIFS($A$6:$A$2005,A620,$B$6:$B$2005,B620)&gt;1,"DUPLICATE",""))</f>
        <v/>
      </c>
    </row>
    <row r="621" spans="1:7">
      <c r="A621" s="9"/>
      <c r="B621" s="12"/>
      <c r="C621" s="10"/>
      <c r="D621" s="10"/>
      <c r="E621" s="10"/>
      <c r="F621" s="9"/>
      <c r="G621" s="11">
        <f>IF(OR(A621="",B621=""),"",IF(COUNTIFS($A$6:$A$2005,A621,$B$6:$B$2005,B621)&gt;1,"DUPLICATE",""))</f>
        <v/>
      </c>
    </row>
    <row r="622" spans="1:7">
      <c r="A622" s="9"/>
      <c r="B622" s="12"/>
      <c r="C622" s="10"/>
      <c r="D622" s="10"/>
      <c r="E622" s="10"/>
      <c r="F622" s="9"/>
      <c r="G622" s="11">
        <f>IF(OR(A622="",B622=""),"",IF(COUNTIFS($A$6:$A$2005,A622,$B$6:$B$2005,B622)&gt;1,"DUPLICATE",""))</f>
        <v/>
      </c>
    </row>
    <row r="623" spans="1:7">
      <c r="A623" s="9"/>
      <c r="B623" s="12"/>
      <c r="C623" s="10"/>
      <c r="D623" s="10"/>
      <c r="E623" s="10"/>
      <c r="F623" s="9"/>
      <c r="G623" s="11">
        <f>IF(OR(A623="",B623=""),"",IF(COUNTIFS($A$6:$A$2005,A623,$B$6:$B$2005,B623)&gt;1,"DUPLICATE",""))</f>
        <v/>
      </c>
    </row>
    <row r="624" spans="1:7">
      <c r="A624" s="9"/>
      <c r="B624" s="12"/>
      <c r="C624" s="10"/>
      <c r="D624" s="10"/>
      <c r="E624" s="10"/>
      <c r="F624" s="9"/>
      <c r="G624" s="11">
        <f>IF(OR(A624="",B624=""),"",IF(COUNTIFS($A$6:$A$2005,A624,$B$6:$B$2005,B624)&gt;1,"DUPLICATE",""))</f>
        <v/>
      </c>
    </row>
    <row r="625" spans="1:7">
      <c r="A625" s="9"/>
      <c r="B625" s="12"/>
      <c r="C625" s="10"/>
      <c r="D625" s="10"/>
      <c r="E625" s="10"/>
      <c r="F625" s="9"/>
      <c r="G625" s="11">
        <f>IF(OR(A625="",B625=""),"",IF(COUNTIFS($A$6:$A$2005,A625,$B$6:$B$2005,B625)&gt;1,"DUPLICATE",""))</f>
        <v/>
      </c>
    </row>
    <row r="626" spans="1:7">
      <c r="A626" s="9"/>
      <c r="B626" s="12"/>
      <c r="C626" s="10"/>
      <c r="D626" s="10"/>
      <c r="E626" s="10"/>
      <c r="F626" s="9"/>
      <c r="G626" s="11">
        <f>IF(OR(A626="",B626=""),"",IF(COUNTIFS($A$6:$A$2005,A626,$B$6:$B$2005,B626)&gt;1,"DUPLICATE",""))</f>
        <v/>
      </c>
    </row>
    <row r="627" spans="1:7">
      <c r="A627" s="9"/>
      <c r="B627" s="12"/>
      <c r="C627" s="10"/>
      <c r="D627" s="10"/>
      <c r="E627" s="10"/>
      <c r="F627" s="9"/>
      <c r="G627" s="11">
        <f>IF(OR(A627="",B627=""),"",IF(COUNTIFS($A$6:$A$2005,A627,$B$6:$B$2005,B627)&gt;1,"DUPLICATE",""))</f>
        <v/>
      </c>
    </row>
    <row r="628" spans="1:7">
      <c r="A628" s="9"/>
      <c r="B628" s="12"/>
      <c r="C628" s="10"/>
      <c r="D628" s="10"/>
      <c r="E628" s="10"/>
      <c r="F628" s="9"/>
      <c r="G628" s="11">
        <f>IF(OR(A628="",B628=""),"",IF(COUNTIFS($A$6:$A$2005,A628,$B$6:$B$2005,B628)&gt;1,"DUPLICATE",""))</f>
        <v/>
      </c>
    </row>
    <row r="629" spans="1:7">
      <c r="A629" s="9"/>
      <c r="B629" s="12"/>
      <c r="C629" s="10"/>
      <c r="D629" s="10"/>
      <c r="E629" s="10"/>
      <c r="F629" s="9"/>
      <c r="G629" s="11">
        <f>IF(OR(A629="",B629=""),"",IF(COUNTIFS($A$6:$A$2005,A629,$B$6:$B$2005,B629)&gt;1,"DUPLICATE",""))</f>
        <v/>
      </c>
    </row>
    <row r="630" spans="1:7">
      <c r="A630" s="9"/>
      <c r="B630" s="12"/>
      <c r="C630" s="10"/>
      <c r="D630" s="10"/>
      <c r="E630" s="10"/>
      <c r="F630" s="9"/>
      <c r="G630" s="11">
        <f>IF(OR(A630="",B630=""),"",IF(COUNTIFS($A$6:$A$2005,A630,$B$6:$B$2005,B630)&gt;1,"DUPLICATE",""))</f>
        <v/>
      </c>
    </row>
    <row r="631" spans="1:7">
      <c r="A631" s="9"/>
      <c r="B631" s="12"/>
      <c r="C631" s="10"/>
      <c r="D631" s="10"/>
      <c r="E631" s="10"/>
      <c r="F631" s="9"/>
      <c r="G631" s="11">
        <f>IF(OR(A631="",B631=""),"",IF(COUNTIFS($A$6:$A$2005,A631,$B$6:$B$2005,B631)&gt;1,"DUPLICATE",""))</f>
        <v/>
      </c>
    </row>
    <row r="632" spans="1:7">
      <c r="A632" s="9"/>
      <c r="B632" s="12"/>
      <c r="C632" s="10"/>
      <c r="D632" s="10"/>
      <c r="E632" s="10"/>
      <c r="F632" s="9"/>
      <c r="G632" s="11">
        <f>IF(OR(A632="",B632=""),"",IF(COUNTIFS($A$6:$A$2005,A632,$B$6:$B$2005,B632)&gt;1,"DUPLICATE",""))</f>
        <v/>
      </c>
    </row>
    <row r="633" spans="1:7">
      <c r="A633" s="9"/>
      <c r="B633" s="12"/>
      <c r="C633" s="10"/>
      <c r="D633" s="10"/>
      <c r="E633" s="10"/>
      <c r="F633" s="9"/>
      <c r="G633" s="11">
        <f>IF(OR(A633="",B633=""),"",IF(COUNTIFS($A$6:$A$2005,A633,$B$6:$B$2005,B633)&gt;1,"DUPLICATE",""))</f>
        <v/>
      </c>
    </row>
    <row r="634" spans="1:7">
      <c r="A634" s="9"/>
      <c r="B634" s="12"/>
      <c r="C634" s="10"/>
      <c r="D634" s="10"/>
      <c r="E634" s="10"/>
      <c r="F634" s="9"/>
      <c r="G634" s="11">
        <f>IF(OR(A634="",B634=""),"",IF(COUNTIFS($A$6:$A$2005,A634,$B$6:$B$2005,B634)&gt;1,"DUPLICATE",""))</f>
        <v/>
      </c>
    </row>
    <row r="635" spans="1:7">
      <c r="A635" s="9"/>
      <c r="B635" s="12"/>
      <c r="C635" s="10"/>
      <c r="D635" s="10"/>
      <c r="E635" s="10"/>
      <c r="F635" s="9"/>
      <c r="G635" s="11">
        <f>IF(OR(A635="",B635=""),"",IF(COUNTIFS($A$6:$A$2005,A635,$B$6:$B$2005,B635)&gt;1,"DUPLICATE",""))</f>
        <v/>
      </c>
    </row>
    <row r="636" spans="1:7">
      <c r="A636" s="9"/>
      <c r="B636" s="12"/>
      <c r="C636" s="10"/>
      <c r="D636" s="10"/>
      <c r="E636" s="10"/>
      <c r="F636" s="9"/>
      <c r="G636" s="11">
        <f>IF(OR(A636="",B636=""),"",IF(COUNTIFS($A$6:$A$2005,A636,$B$6:$B$2005,B636)&gt;1,"DUPLICATE",""))</f>
        <v/>
      </c>
    </row>
    <row r="637" spans="1:7">
      <c r="A637" s="9"/>
      <c r="B637" s="12"/>
      <c r="C637" s="10"/>
      <c r="D637" s="10"/>
      <c r="E637" s="10"/>
      <c r="F637" s="9"/>
      <c r="G637" s="11">
        <f>IF(OR(A637="",B637=""),"",IF(COUNTIFS($A$6:$A$2005,A637,$B$6:$B$2005,B637)&gt;1,"DUPLICATE",""))</f>
        <v/>
      </c>
    </row>
    <row r="638" spans="1:7">
      <c r="A638" s="9"/>
      <c r="B638" s="12"/>
      <c r="C638" s="10"/>
      <c r="D638" s="10"/>
      <c r="E638" s="10"/>
      <c r="F638" s="9"/>
      <c r="G638" s="11">
        <f>IF(OR(A638="",B638=""),"",IF(COUNTIFS($A$6:$A$2005,A638,$B$6:$B$2005,B638)&gt;1,"DUPLICATE",""))</f>
        <v/>
      </c>
    </row>
    <row r="639" spans="1:7">
      <c r="A639" s="9"/>
      <c r="B639" s="12"/>
      <c r="C639" s="10"/>
      <c r="D639" s="10"/>
      <c r="E639" s="10"/>
      <c r="F639" s="9"/>
      <c r="G639" s="11">
        <f>IF(OR(A639="",B639=""),"",IF(COUNTIFS($A$6:$A$2005,A639,$B$6:$B$2005,B639)&gt;1,"DUPLICATE",""))</f>
        <v/>
      </c>
    </row>
    <row r="640" spans="1:7">
      <c r="A640" s="9"/>
      <c r="B640" s="12"/>
      <c r="C640" s="10"/>
      <c r="D640" s="10"/>
      <c r="E640" s="10"/>
      <c r="F640" s="9"/>
      <c r="G640" s="11">
        <f>IF(OR(A640="",B640=""),"",IF(COUNTIFS($A$6:$A$2005,A640,$B$6:$B$2005,B640)&gt;1,"DUPLICATE",""))</f>
        <v/>
      </c>
    </row>
    <row r="641" spans="1:7">
      <c r="A641" s="9"/>
      <c r="B641" s="12"/>
      <c r="C641" s="10"/>
      <c r="D641" s="10"/>
      <c r="E641" s="10"/>
      <c r="F641" s="9"/>
      <c r="G641" s="11">
        <f>IF(OR(A641="",B641=""),"",IF(COUNTIFS($A$6:$A$2005,A641,$B$6:$B$2005,B641)&gt;1,"DUPLICATE",""))</f>
        <v/>
      </c>
    </row>
    <row r="642" spans="1:7">
      <c r="A642" s="9"/>
      <c r="B642" s="12"/>
      <c r="C642" s="10"/>
      <c r="D642" s="10"/>
      <c r="E642" s="10"/>
      <c r="F642" s="9"/>
      <c r="G642" s="11">
        <f>IF(OR(A642="",B642=""),"",IF(COUNTIFS($A$6:$A$2005,A642,$B$6:$B$2005,B642)&gt;1,"DUPLICATE",""))</f>
        <v/>
      </c>
    </row>
    <row r="643" spans="1:7">
      <c r="A643" s="9"/>
      <c r="B643" s="12"/>
      <c r="C643" s="10"/>
      <c r="D643" s="10"/>
      <c r="E643" s="10"/>
      <c r="F643" s="9"/>
      <c r="G643" s="11">
        <f>IF(OR(A643="",B643=""),"",IF(COUNTIFS($A$6:$A$2005,A643,$B$6:$B$2005,B643)&gt;1,"DUPLICATE",""))</f>
        <v/>
      </c>
    </row>
    <row r="644" spans="1:7">
      <c r="A644" s="9"/>
      <c r="B644" s="12"/>
      <c r="C644" s="10"/>
      <c r="D644" s="10"/>
      <c r="E644" s="10"/>
      <c r="F644" s="9"/>
      <c r="G644" s="11">
        <f>IF(OR(A644="",B644=""),"",IF(COUNTIFS($A$6:$A$2005,A644,$B$6:$B$2005,B644)&gt;1,"DUPLICATE",""))</f>
        <v/>
      </c>
    </row>
    <row r="645" spans="1:7">
      <c r="A645" s="9"/>
      <c r="B645" s="12"/>
      <c r="C645" s="10"/>
      <c r="D645" s="10"/>
      <c r="E645" s="10"/>
      <c r="F645" s="9"/>
      <c r="G645" s="11">
        <f>IF(OR(A645="",B645=""),"",IF(COUNTIFS($A$6:$A$2005,A645,$B$6:$B$2005,B645)&gt;1,"DUPLICATE",""))</f>
        <v/>
      </c>
    </row>
    <row r="646" spans="1:7">
      <c r="A646" s="9"/>
      <c r="B646" s="12"/>
      <c r="C646" s="10"/>
      <c r="D646" s="10"/>
      <c r="E646" s="10"/>
      <c r="F646" s="9"/>
      <c r="G646" s="11">
        <f>IF(OR(A646="",B646=""),"",IF(COUNTIFS($A$6:$A$2005,A646,$B$6:$B$2005,B646)&gt;1,"DUPLICATE",""))</f>
        <v/>
      </c>
    </row>
    <row r="647" spans="1:7">
      <c r="A647" s="9"/>
      <c r="B647" s="12"/>
      <c r="C647" s="10"/>
      <c r="D647" s="10"/>
      <c r="E647" s="10"/>
      <c r="F647" s="9"/>
      <c r="G647" s="11">
        <f>IF(OR(A647="",B647=""),"",IF(COUNTIFS($A$6:$A$2005,A647,$B$6:$B$2005,B647)&gt;1,"DUPLICATE",""))</f>
        <v/>
      </c>
    </row>
    <row r="648" spans="1:7">
      <c r="A648" s="9"/>
      <c r="B648" s="12"/>
      <c r="C648" s="10"/>
      <c r="D648" s="10"/>
      <c r="E648" s="10"/>
      <c r="F648" s="9"/>
      <c r="G648" s="11">
        <f>IF(OR(A648="",B648=""),"",IF(COUNTIFS($A$6:$A$2005,A648,$B$6:$B$2005,B648)&gt;1,"DUPLICATE",""))</f>
        <v/>
      </c>
    </row>
    <row r="649" spans="1:7">
      <c r="A649" s="9"/>
      <c r="B649" s="12"/>
      <c r="C649" s="10"/>
      <c r="D649" s="10"/>
      <c r="E649" s="10"/>
      <c r="F649" s="9"/>
      <c r="G649" s="11">
        <f>IF(OR(A649="",B649=""),"",IF(COUNTIFS($A$6:$A$2005,A649,$B$6:$B$2005,B649)&gt;1,"DUPLICATE",""))</f>
        <v/>
      </c>
    </row>
    <row r="650" spans="1:7">
      <c r="A650" s="9"/>
      <c r="B650" s="12"/>
      <c r="C650" s="10"/>
      <c r="D650" s="10"/>
      <c r="E650" s="10"/>
      <c r="F650" s="9"/>
      <c r="G650" s="11">
        <f>IF(OR(A650="",B650=""),"",IF(COUNTIFS($A$6:$A$2005,A650,$B$6:$B$2005,B650)&gt;1,"DUPLICATE",""))</f>
        <v/>
      </c>
    </row>
    <row r="651" spans="1:7">
      <c r="A651" s="9"/>
      <c r="B651" s="12"/>
      <c r="C651" s="10"/>
      <c r="D651" s="10"/>
      <c r="E651" s="10"/>
      <c r="F651" s="9"/>
      <c r="G651" s="11">
        <f>IF(OR(A651="",B651=""),"",IF(COUNTIFS($A$6:$A$2005,A651,$B$6:$B$2005,B651)&gt;1,"DUPLICATE",""))</f>
        <v/>
      </c>
    </row>
    <row r="652" spans="1:7">
      <c r="A652" s="9"/>
      <c r="B652" s="12"/>
      <c r="C652" s="10"/>
      <c r="D652" s="10"/>
      <c r="E652" s="10"/>
      <c r="F652" s="9"/>
      <c r="G652" s="11">
        <f>IF(OR(A652="",B652=""),"",IF(COUNTIFS($A$6:$A$2005,A652,$B$6:$B$2005,B652)&gt;1,"DUPLICATE",""))</f>
        <v/>
      </c>
    </row>
    <row r="653" spans="1:7">
      <c r="A653" s="9"/>
      <c r="B653" s="12"/>
      <c r="C653" s="10"/>
      <c r="D653" s="10"/>
      <c r="E653" s="10"/>
      <c r="F653" s="9"/>
      <c r="G653" s="11">
        <f>IF(OR(A653="",B653=""),"",IF(COUNTIFS($A$6:$A$2005,A653,$B$6:$B$2005,B653)&gt;1,"DUPLICATE",""))</f>
        <v/>
      </c>
    </row>
    <row r="654" spans="1:7">
      <c r="A654" s="9"/>
      <c r="B654" s="12"/>
      <c r="C654" s="10"/>
      <c r="D654" s="10"/>
      <c r="E654" s="10"/>
      <c r="F654" s="9"/>
      <c r="G654" s="11">
        <f>IF(OR(A654="",B654=""),"",IF(COUNTIFS($A$6:$A$2005,A654,$B$6:$B$2005,B654)&gt;1,"DUPLICATE",""))</f>
        <v/>
      </c>
    </row>
    <row r="655" spans="1:7">
      <c r="A655" s="9"/>
      <c r="B655" s="12"/>
      <c r="C655" s="10"/>
      <c r="D655" s="10"/>
      <c r="E655" s="10"/>
      <c r="F655" s="9"/>
      <c r="G655" s="11">
        <f>IF(OR(A655="",B655=""),"",IF(COUNTIFS($A$6:$A$2005,A655,$B$6:$B$2005,B655)&gt;1,"DUPLICATE",""))</f>
        <v/>
      </c>
    </row>
    <row r="656" spans="1:7">
      <c r="A656" s="9"/>
      <c r="B656" s="12"/>
      <c r="C656" s="10"/>
      <c r="D656" s="10"/>
      <c r="E656" s="10"/>
      <c r="F656" s="9"/>
      <c r="G656" s="11">
        <f>IF(OR(A656="",B656=""),"",IF(COUNTIFS($A$6:$A$2005,A656,$B$6:$B$2005,B656)&gt;1,"DUPLICATE",""))</f>
        <v/>
      </c>
    </row>
    <row r="657" spans="1:7">
      <c r="A657" s="9"/>
      <c r="B657" s="12"/>
      <c r="C657" s="10"/>
      <c r="D657" s="10"/>
      <c r="E657" s="10"/>
      <c r="F657" s="9"/>
      <c r="G657" s="11">
        <f>IF(OR(A657="",B657=""),"",IF(COUNTIFS($A$6:$A$2005,A657,$B$6:$B$2005,B657)&gt;1,"DUPLICATE",""))</f>
        <v/>
      </c>
    </row>
    <row r="658" spans="1:7">
      <c r="A658" s="9"/>
      <c r="B658" s="12"/>
      <c r="C658" s="10"/>
      <c r="D658" s="10"/>
      <c r="E658" s="10"/>
      <c r="F658" s="9"/>
      <c r="G658" s="11">
        <f>IF(OR(A658="",B658=""),"",IF(COUNTIFS($A$6:$A$2005,A658,$B$6:$B$2005,B658)&gt;1,"DUPLICATE",""))</f>
        <v/>
      </c>
    </row>
    <row r="659" spans="1:7">
      <c r="A659" s="9"/>
      <c r="B659" s="12"/>
      <c r="C659" s="10"/>
      <c r="D659" s="10"/>
      <c r="E659" s="10"/>
      <c r="F659" s="9"/>
      <c r="G659" s="11">
        <f>IF(OR(A659="",B659=""),"",IF(COUNTIFS($A$6:$A$2005,A659,$B$6:$B$2005,B659)&gt;1,"DUPLICATE",""))</f>
        <v/>
      </c>
    </row>
    <row r="660" spans="1:7">
      <c r="A660" s="9"/>
      <c r="B660" s="12"/>
      <c r="C660" s="10"/>
      <c r="D660" s="10"/>
      <c r="E660" s="10"/>
      <c r="F660" s="9"/>
      <c r="G660" s="11">
        <f>IF(OR(A660="",B660=""),"",IF(COUNTIFS($A$6:$A$2005,A660,$B$6:$B$2005,B660)&gt;1,"DUPLICATE",""))</f>
        <v/>
      </c>
    </row>
    <row r="661" spans="1:7">
      <c r="A661" s="9"/>
      <c r="B661" s="12"/>
      <c r="C661" s="10"/>
      <c r="D661" s="10"/>
      <c r="E661" s="10"/>
      <c r="F661" s="9"/>
      <c r="G661" s="11">
        <f>IF(OR(A661="",B661=""),"",IF(COUNTIFS($A$6:$A$2005,A661,$B$6:$B$2005,B661)&gt;1,"DUPLICATE",""))</f>
        <v/>
      </c>
    </row>
    <row r="662" spans="1:7">
      <c r="A662" s="9"/>
      <c r="B662" s="12"/>
      <c r="C662" s="10"/>
      <c r="D662" s="10"/>
      <c r="E662" s="10"/>
      <c r="F662" s="9"/>
      <c r="G662" s="11">
        <f>IF(OR(A662="",B662=""),"",IF(COUNTIFS($A$6:$A$2005,A662,$B$6:$B$2005,B662)&gt;1,"DUPLICATE",""))</f>
        <v/>
      </c>
    </row>
    <row r="663" spans="1:7">
      <c r="A663" s="9"/>
      <c r="B663" s="12"/>
      <c r="C663" s="10"/>
      <c r="D663" s="10"/>
      <c r="E663" s="10"/>
      <c r="F663" s="9"/>
      <c r="G663" s="11">
        <f>IF(OR(A663="",B663=""),"",IF(COUNTIFS($A$6:$A$2005,A663,$B$6:$B$2005,B663)&gt;1,"DUPLICATE",""))</f>
        <v/>
      </c>
    </row>
    <row r="664" spans="1:7">
      <c r="A664" s="9"/>
      <c r="B664" s="12"/>
      <c r="C664" s="10"/>
      <c r="D664" s="10"/>
      <c r="E664" s="10"/>
      <c r="F664" s="9"/>
      <c r="G664" s="11">
        <f>IF(OR(A664="",B664=""),"",IF(COUNTIFS($A$6:$A$2005,A664,$B$6:$B$2005,B664)&gt;1,"DUPLICATE",""))</f>
        <v/>
      </c>
    </row>
    <row r="665" spans="1:7">
      <c r="A665" s="9"/>
      <c r="B665" s="12"/>
      <c r="C665" s="10"/>
      <c r="D665" s="10"/>
      <c r="E665" s="10"/>
      <c r="F665" s="9"/>
      <c r="G665" s="11">
        <f>IF(OR(A665="",B665=""),"",IF(COUNTIFS($A$6:$A$2005,A665,$B$6:$B$2005,B665)&gt;1,"DUPLICATE",""))</f>
        <v/>
      </c>
    </row>
    <row r="666" spans="1:7">
      <c r="A666" s="9"/>
      <c r="B666" s="12"/>
      <c r="C666" s="10"/>
      <c r="D666" s="10"/>
      <c r="E666" s="10"/>
      <c r="F666" s="9"/>
      <c r="G666" s="11">
        <f>IF(OR(A666="",B666=""),"",IF(COUNTIFS($A$6:$A$2005,A666,$B$6:$B$2005,B666)&gt;1,"DUPLICATE",""))</f>
        <v/>
      </c>
    </row>
    <row r="667" spans="1:7">
      <c r="A667" s="9"/>
      <c r="B667" s="12"/>
      <c r="C667" s="10"/>
      <c r="D667" s="10"/>
      <c r="E667" s="10"/>
      <c r="F667" s="9"/>
      <c r="G667" s="11">
        <f>IF(OR(A667="",B667=""),"",IF(COUNTIFS($A$6:$A$2005,A667,$B$6:$B$2005,B667)&gt;1,"DUPLICATE",""))</f>
        <v/>
      </c>
    </row>
    <row r="668" spans="1:7">
      <c r="A668" s="9"/>
      <c r="B668" s="12"/>
      <c r="C668" s="10"/>
      <c r="D668" s="10"/>
      <c r="E668" s="10"/>
      <c r="F668" s="9"/>
      <c r="G668" s="11">
        <f>IF(OR(A668="",B668=""),"",IF(COUNTIFS($A$6:$A$2005,A668,$B$6:$B$2005,B668)&gt;1,"DUPLICATE",""))</f>
        <v/>
      </c>
    </row>
    <row r="669" spans="1:7">
      <c r="A669" s="9"/>
      <c r="B669" s="12"/>
      <c r="C669" s="10"/>
      <c r="D669" s="10"/>
      <c r="E669" s="10"/>
      <c r="F669" s="9"/>
      <c r="G669" s="11">
        <f>IF(OR(A669="",B669=""),"",IF(COUNTIFS($A$6:$A$2005,A669,$B$6:$B$2005,B669)&gt;1,"DUPLICATE",""))</f>
        <v/>
      </c>
    </row>
    <row r="670" spans="1:7">
      <c r="A670" s="9"/>
      <c r="B670" s="12"/>
      <c r="C670" s="10"/>
      <c r="D670" s="10"/>
      <c r="E670" s="10"/>
      <c r="F670" s="9"/>
      <c r="G670" s="11">
        <f>IF(OR(A670="",B670=""),"",IF(COUNTIFS($A$6:$A$2005,A670,$B$6:$B$2005,B670)&gt;1,"DUPLICATE",""))</f>
        <v/>
      </c>
    </row>
    <row r="671" spans="1:7">
      <c r="A671" s="9"/>
      <c r="B671" s="12"/>
      <c r="C671" s="10"/>
      <c r="D671" s="10"/>
      <c r="E671" s="10"/>
      <c r="F671" s="9"/>
      <c r="G671" s="11">
        <f>IF(OR(A671="",B671=""),"",IF(COUNTIFS($A$6:$A$2005,A671,$B$6:$B$2005,B671)&gt;1,"DUPLICATE",""))</f>
        <v/>
      </c>
    </row>
    <row r="672" spans="1:7">
      <c r="A672" s="9"/>
      <c r="B672" s="12"/>
      <c r="C672" s="10"/>
      <c r="D672" s="10"/>
      <c r="E672" s="10"/>
      <c r="F672" s="9"/>
      <c r="G672" s="11">
        <f>IF(OR(A672="",B672=""),"",IF(COUNTIFS($A$6:$A$2005,A672,$B$6:$B$2005,B672)&gt;1,"DUPLICATE",""))</f>
        <v/>
      </c>
    </row>
    <row r="673" spans="1:7">
      <c r="A673" s="9"/>
      <c r="B673" s="12"/>
      <c r="C673" s="10"/>
      <c r="D673" s="10"/>
      <c r="E673" s="10"/>
      <c r="F673" s="9"/>
      <c r="G673" s="11">
        <f>IF(OR(A673="",B673=""),"",IF(COUNTIFS($A$6:$A$2005,A673,$B$6:$B$2005,B673)&gt;1,"DUPLICATE",""))</f>
        <v/>
      </c>
    </row>
    <row r="674" spans="1:7">
      <c r="A674" s="9"/>
      <c r="B674" s="12"/>
      <c r="C674" s="10"/>
      <c r="D674" s="10"/>
      <c r="E674" s="10"/>
      <c r="F674" s="9"/>
      <c r="G674" s="11">
        <f>IF(OR(A674="",B674=""),"",IF(COUNTIFS($A$6:$A$2005,A674,$B$6:$B$2005,B674)&gt;1,"DUPLICATE",""))</f>
        <v/>
      </c>
    </row>
    <row r="675" spans="1:7">
      <c r="A675" s="9"/>
      <c r="B675" s="12"/>
      <c r="C675" s="10"/>
      <c r="D675" s="10"/>
      <c r="E675" s="10"/>
      <c r="F675" s="9"/>
      <c r="G675" s="11">
        <f>IF(OR(A675="",B675=""),"",IF(COUNTIFS($A$6:$A$2005,A675,$B$6:$B$2005,B675)&gt;1,"DUPLICATE",""))</f>
        <v/>
      </c>
    </row>
    <row r="676" spans="1:7">
      <c r="A676" s="9"/>
      <c r="B676" s="12"/>
      <c r="C676" s="10"/>
      <c r="D676" s="10"/>
      <c r="E676" s="10"/>
      <c r="F676" s="9"/>
      <c r="G676" s="11">
        <f>IF(OR(A676="",B676=""),"",IF(COUNTIFS($A$6:$A$2005,A676,$B$6:$B$2005,B676)&gt;1,"DUPLICATE",""))</f>
        <v/>
      </c>
    </row>
    <row r="677" spans="1:7">
      <c r="A677" s="9"/>
      <c r="B677" s="12"/>
      <c r="C677" s="10"/>
      <c r="D677" s="10"/>
      <c r="E677" s="10"/>
      <c r="F677" s="9"/>
      <c r="G677" s="11">
        <f>IF(OR(A677="",B677=""),"",IF(COUNTIFS($A$6:$A$2005,A677,$B$6:$B$2005,B677)&gt;1,"DUPLICATE",""))</f>
        <v/>
      </c>
    </row>
    <row r="678" spans="1:7">
      <c r="A678" s="9"/>
      <c r="B678" s="12"/>
      <c r="C678" s="10"/>
      <c r="D678" s="10"/>
      <c r="E678" s="10"/>
      <c r="F678" s="9"/>
      <c r="G678" s="11">
        <f>IF(OR(A678="",B678=""),"",IF(COUNTIFS($A$6:$A$2005,A678,$B$6:$B$2005,B678)&gt;1,"DUPLICATE",""))</f>
        <v/>
      </c>
    </row>
    <row r="679" spans="1:7">
      <c r="A679" s="9"/>
      <c r="B679" s="12"/>
      <c r="C679" s="10"/>
      <c r="D679" s="10"/>
      <c r="E679" s="10"/>
      <c r="F679" s="9"/>
      <c r="G679" s="11">
        <f>IF(OR(A679="",B679=""),"",IF(COUNTIFS($A$6:$A$2005,A679,$B$6:$B$2005,B679)&gt;1,"DUPLICATE",""))</f>
        <v/>
      </c>
    </row>
    <row r="680" spans="1:7">
      <c r="A680" s="9"/>
      <c r="B680" s="12"/>
      <c r="C680" s="10"/>
      <c r="D680" s="10"/>
      <c r="E680" s="10"/>
      <c r="F680" s="9"/>
      <c r="G680" s="11">
        <f>IF(OR(A680="",B680=""),"",IF(COUNTIFS($A$6:$A$2005,A680,$B$6:$B$2005,B680)&gt;1,"DUPLICATE",""))</f>
        <v/>
      </c>
    </row>
    <row r="681" spans="1:7">
      <c r="A681" s="9"/>
      <c r="B681" s="12"/>
      <c r="C681" s="10"/>
      <c r="D681" s="10"/>
      <c r="E681" s="10"/>
      <c r="F681" s="9"/>
      <c r="G681" s="11">
        <f>IF(OR(A681="",B681=""),"",IF(COUNTIFS($A$6:$A$2005,A681,$B$6:$B$2005,B681)&gt;1,"DUPLICATE",""))</f>
        <v/>
      </c>
    </row>
    <row r="682" spans="1:7">
      <c r="A682" s="9"/>
      <c r="B682" s="12"/>
      <c r="C682" s="10"/>
      <c r="D682" s="10"/>
      <c r="E682" s="10"/>
      <c r="F682" s="9"/>
      <c r="G682" s="11">
        <f>IF(OR(A682="",B682=""),"",IF(COUNTIFS($A$6:$A$2005,A682,$B$6:$B$2005,B682)&gt;1,"DUPLICATE",""))</f>
        <v/>
      </c>
    </row>
    <row r="683" spans="1:7">
      <c r="A683" s="9"/>
      <c r="B683" s="12"/>
      <c r="C683" s="10"/>
      <c r="D683" s="10"/>
      <c r="E683" s="10"/>
      <c r="F683" s="9"/>
      <c r="G683" s="11">
        <f>IF(OR(A683="",B683=""),"",IF(COUNTIFS($A$6:$A$2005,A683,$B$6:$B$2005,B683)&gt;1,"DUPLICATE",""))</f>
        <v/>
      </c>
    </row>
    <row r="684" spans="1:7">
      <c r="A684" s="9"/>
      <c r="B684" s="12"/>
      <c r="C684" s="10"/>
      <c r="D684" s="10"/>
      <c r="E684" s="10"/>
      <c r="F684" s="9"/>
      <c r="G684" s="11">
        <f>IF(OR(A684="",B684=""),"",IF(COUNTIFS($A$6:$A$2005,A684,$B$6:$B$2005,B684)&gt;1,"DUPLICATE",""))</f>
        <v/>
      </c>
    </row>
    <row r="685" spans="1:7">
      <c r="A685" s="9"/>
      <c r="B685" s="12"/>
      <c r="C685" s="10"/>
      <c r="D685" s="10"/>
      <c r="E685" s="10"/>
      <c r="F685" s="9"/>
      <c r="G685" s="11">
        <f>IF(OR(A685="",B685=""),"",IF(COUNTIFS($A$6:$A$2005,A685,$B$6:$B$2005,B685)&gt;1,"DUPLICATE",""))</f>
        <v/>
      </c>
    </row>
    <row r="686" spans="1:7">
      <c r="A686" s="9"/>
      <c r="B686" s="12"/>
      <c r="C686" s="10"/>
      <c r="D686" s="10"/>
      <c r="E686" s="10"/>
      <c r="F686" s="9"/>
      <c r="G686" s="11">
        <f>IF(OR(A686="",B686=""),"",IF(COUNTIFS($A$6:$A$2005,A686,$B$6:$B$2005,B686)&gt;1,"DUPLICATE",""))</f>
        <v/>
      </c>
    </row>
    <row r="687" spans="1:7">
      <c r="A687" s="9"/>
      <c r="B687" s="12"/>
      <c r="C687" s="10"/>
      <c r="D687" s="10"/>
      <c r="E687" s="10"/>
      <c r="F687" s="9"/>
      <c r="G687" s="11">
        <f>IF(OR(A687="",B687=""),"",IF(COUNTIFS($A$6:$A$2005,A687,$B$6:$B$2005,B687)&gt;1,"DUPLICATE",""))</f>
        <v/>
      </c>
    </row>
    <row r="688" spans="1:7">
      <c r="A688" s="9"/>
      <c r="B688" s="12"/>
      <c r="C688" s="10"/>
      <c r="D688" s="10"/>
      <c r="E688" s="10"/>
      <c r="F688" s="9"/>
      <c r="G688" s="11">
        <f>IF(OR(A688="",B688=""),"",IF(COUNTIFS($A$6:$A$2005,A688,$B$6:$B$2005,B688)&gt;1,"DUPLICATE",""))</f>
        <v/>
      </c>
    </row>
    <row r="689" spans="1:7">
      <c r="A689" s="9"/>
      <c r="B689" s="12"/>
      <c r="C689" s="10"/>
      <c r="D689" s="10"/>
      <c r="E689" s="10"/>
      <c r="F689" s="9"/>
      <c r="G689" s="11">
        <f>IF(OR(A689="",B689=""),"",IF(COUNTIFS($A$6:$A$2005,A689,$B$6:$B$2005,B689)&gt;1,"DUPLICATE",""))</f>
        <v/>
      </c>
    </row>
    <row r="690" spans="1:7">
      <c r="A690" s="9"/>
      <c r="B690" s="12"/>
      <c r="C690" s="10"/>
      <c r="D690" s="10"/>
      <c r="E690" s="10"/>
      <c r="F690" s="9"/>
      <c r="G690" s="11">
        <f>IF(OR(A690="",B690=""),"",IF(COUNTIFS($A$6:$A$2005,A690,$B$6:$B$2005,B690)&gt;1,"DUPLICATE",""))</f>
        <v/>
      </c>
    </row>
    <row r="691" spans="1:7">
      <c r="A691" s="9"/>
      <c r="B691" s="12"/>
      <c r="C691" s="10"/>
      <c r="D691" s="10"/>
      <c r="E691" s="10"/>
      <c r="F691" s="9"/>
      <c r="G691" s="11">
        <f>IF(OR(A691="",B691=""),"",IF(COUNTIFS($A$6:$A$2005,A691,$B$6:$B$2005,B691)&gt;1,"DUPLICATE",""))</f>
        <v/>
      </c>
    </row>
    <row r="692" spans="1:7">
      <c r="A692" s="9"/>
      <c r="B692" s="12"/>
      <c r="C692" s="10"/>
      <c r="D692" s="10"/>
      <c r="E692" s="10"/>
      <c r="F692" s="9"/>
      <c r="G692" s="11">
        <f>IF(OR(A692="",B692=""),"",IF(COUNTIFS($A$6:$A$2005,A692,$B$6:$B$2005,B692)&gt;1,"DUPLICATE",""))</f>
        <v/>
      </c>
    </row>
    <row r="693" spans="1:7">
      <c r="A693" s="9"/>
      <c r="B693" s="12"/>
      <c r="C693" s="10"/>
      <c r="D693" s="10"/>
      <c r="E693" s="10"/>
      <c r="F693" s="9"/>
      <c r="G693" s="11">
        <f>IF(OR(A693="",B693=""),"",IF(COUNTIFS($A$6:$A$2005,A693,$B$6:$B$2005,B693)&gt;1,"DUPLICATE",""))</f>
        <v/>
      </c>
    </row>
    <row r="694" spans="1:7">
      <c r="A694" s="9"/>
      <c r="B694" s="12"/>
      <c r="C694" s="10"/>
      <c r="D694" s="10"/>
      <c r="E694" s="10"/>
      <c r="F694" s="9"/>
      <c r="G694" s="11">
        <f>IF(OR(A694="",B694=""),"",IF(COUNTIFS($A$6:$A$2005,A694,$B$6:$B$2005,B694)&gt;1,"DUPLICATE",""))</f>
        <v/>
      </c>
    </row>
    <row r="695" spans="1:7">
      <c r="A695" s="9"/>
      <c r="B695" s="12"/>
      <c r="C695" s="10"/>
      <c r="D695" s="10"/>
      <c r="E695" s="10"/>
      <c r="F695" s="9"/>
      <c r="G695" s="11">
        <f>IF(OR(A695="",B695=""),"",IF(COUNTIFS($A$6:$A$2005,A695,$B$6:$B$2005,B695)&gt;1,"DUPLICATE",""))</f>
        <v/>
      </c>
    </row>
    <row r="696" spans="1:7">
      <c r="A696" s="9"/>
      <c r="B696" s="12"/>
      <c r="C696" s="10"/>
      <c r="D696" s="10"/>
      <c r="E696" s="10"/>
      <c r="F696" s="9"/>
      <c r="G696" s="11">
        <f>IF(OR(A696="",B696=""),"",IF(COUNTIFS($A$6:$A$2005,A696,$B$6:$B$2005,B696)&gt;1,"DUPLICATE",""))</f>
        <v/>
      </c>
    </row>
    <row r="697" spans="1:7">
      <c r="A697" s="9"/>
      <c r="B697" s="12"/>
      <c r="C697" s="10"/>
      <c r="D697" s="10"/>
      <c r="E697" s="10"/>
      <c r="F697" s="9"/>
      <c r="G697" s="11">
        <f>IF(OR(A697="",B697=""),"",IF(COUNTIFS($A$6:$A$2005,A697,$B$6:$B$2005,B697)&gt;1,"DUPLICATE",""))</f>
        <v/>
      </c>
    </row>
    <row r="698" spans="1:7">
      <c r="A698" s="9"/>
      <c r="B698" s="12"/>
      <c r="C698" s="10"/>
      <c r="D698" s="10"/>
      <c r="E698" s="10"/>
      <c r="F698" s="9"/>
      <c r="G698" s="11">
        <f>IF(OR(A698="",B698=""),"",IF(COUNTIFS($A$6:$A$2005,A698,$B$6:$B$2005,B698)&gt;1,"DUPLICATE",""))</f>
        <v/>
      </c>
    </row>
    <row r="699" spans="1:7">
      <c r="A699" s="9"/>
      <c r="B699" s="12"/>
      <c r="C699" s="10"/>
      <c r="D699" s="10"/>
      <c r="E699" s="10"/>
      <c r="F699" s="9"/>
      <c r="G699" s="11">
        <f>IF(OR(A699="",B699=""),"",IF(COUNTIFS($A$6:$A$2005,A699,$B$6:$B$2005,B699)&gt;1,"DUPLICATE",""))</f>
        <v/>
      </c>
    </row>
    <row r="700" spans="1:7">
      <c r="A700" s="9"/>
      <c r="B700" s="12"/>
      <c r="C700" s="10"/>
      <c r="D700" s="10"/>
      <c r="E700" s="10"/>
      <c r="F700" s="9"/>
      <c r="G700" s="11">
        <f>IF(OR(A700="",B700=""),"",IF(COUNTIFS($A$6:$A$2005,A700,$B$6:$B$2005,B700)&gt;1,"DUPLICATE",""))</f>
        <v/>
      </c>
    </row>
    <row r="701" spans="1:7">
      <c r="A701" s="9"/>
      <c r="B701" s="12"/>
      <c r="C701" s="10"/>
      <c r="D701" s="10"/>
      <c r="E701" s="10"/>
      <c r="F701" s="9"/>
      <c r="G701" s="11">
        <f>IF(OR(A701="",B701=""),"",IF(COUNTIFS($A$6:$A$2005,A701,$B$6:$B$2005,B701)&gt;1,"DUPLICATE",""))</f>
        <v/>
      </c>
    </row>
    <row r="702" spans="1:7">
      <c r="A702" s="9"/>
      <c r="B702" s="12"/>
      <c r="C702" s="10"/>
      <c r="D702" s="10"/>
      <c r="E702" s="10"/>
      <c r="F702" s="9"/>
      <c r="G702" s="11">
        <f>IF(OR(A702="",B702=""),"",IF(COUNTIFS($A$6:$A$2005,A702,$B$6:$B$2005,B702)&gt;1,"DUPLICATE",""))</f>
        <v/>
      </c>
    </row>
    <row r="703" spans="1:7">
      <c r="A703" s="9"/>
      <c r="B703" s="12"/>
      <c r="C703" s="10"/>
      <c r="D703" s="10"/>
      <c r="E703" s="10"/>
      <c r="F703" s="9"/>
      <c r="G703" s="11">
        <f>IF(OR(A703="",B703=""),"",IF(COUNTIFS($A$6:$A$2005,A703,$B$6:$B$2005,B703)&gt;1,"DUPLICATE",""))</f>
        <v/>
      </c>
    </row>
    <row r="704" spans="1:7">
      <c r="A704" s="9"/>
      <c r="B704" s="12"/>
      <c r="C704" s="10"/>
      <c r="D704" s="10"/>
      <c r="E704" s="10"/>
      <c r="F704" s="9"/>
      <c r="G704" s="11">
        <f>IF(OR(A704="",B704=""),"",IF(COUNTIFS($A$6:$A$2005,A704,$B$6:$B$2005,B704)&gt;1,"DUPLICATE",""))</f>
        <v/>
      </c>
    </row>
    <row r="705" spans="1:7">
      <c r="A705" s="9"/>
      <c r="B705" s="12"/>
      <c r="C705" s="10"/>
      <c r="D705" s="10"/>
      <c r="E705" s="10"/>
      <c r="F705" s="9"/>
      <c r="G705" s="11">
        <f>IF(OR(A705="",B705=""),"",IF(COUNTIFS($A$6:$A$2005,A705,$B$6:$B$2005,B705)&gt;1,"DUPLICATE",""))</f>
        <v/>
      </c>
    </row>
    <row r="706" spans="1:7">
      <c r="A706" s="9"/>
      <c r="B706" s="12"/>
      <c r="C706" s="10"/>
      <c r="D706" s="10"/>
      <c r="E706" s="10"/>
      <c r="F706" s="9"/>
      <c r="G706" s="11">
        <f>IF(OR(A706="",B706=""),"",IF(COUNTIFS($A$6:$A$2005,A706,$B$6:$B$2005,B706)&gt;1,"DUPLICATE",""))</f>
        <v/>
      </c>
    </row>
    <row r="707" spans="1:7">
      <c r="A707" s="9"/>
      <c r="B707" s="12"/>
      <c r="C707" s="10"/>
      <c r="D707" s="10"/>
      <c r="E707" s="10"/>
      <c r="F707" s="9"/>
      <c r="G707" s="11">
        <f>IF(OR(A707="",B707=""),"",IF(COUNTIFS($A$6:$A$2005,A707,$B$6:$B$2005,B707)&gt;1,"DUPLICATE",""))</f>
        <v/>
      </c>
    </row>
    <row r="708" spans="1:7">
      <c r="A708" s="9"/>
      <c r="B708" s="12"/>
      <c r="C708" s="10"/>
      <c r="D708" s="10"/>
      <c r="E708" s="10"/>
      <c r="F708" s="9"/>
      <c r="G708" s="11">
        <f>IF(OR(A708="",B708=""),"",IF(COUNTIFS($A$6:$A$2005,A708,$B$6:$B$2005,B708)&gt;1,"DUPLICATE",""))</f>
        <v/>
      </c>
    </row>
    <row r="709" spans="1:7">
      <c r="A709" s="9"/>
      <c r="B709" s="12"/>
      <c r="C709" s="10"/>
      <c r="D709" s="10"/>
      <c r="E709" s="10"/>
      <c r="F709" s="9"/>
      <c r="G709" s="11">
        <f>IF(OR(A709="",B709=""),"",IF(COUNTIFS($A$6:$A$2005,A709,$B$6:$B$2005,B709)&gt;1,"DUPLICATE",""))</f>
        <v/>
      </c>
    </row>
    <row r="710" spans="1:7">
      <c r="A710" s="9"/>
      <c r="B710" s="12"/>
      <c r="C710" s="10"/>
      <c r="D710" s="10"/>
      <c r="E710" s="10"/>
      <c r="F710" s="9"/>
      <c r="G710" s="11">
        <f>IF(OR(A710="",B710=""),"",IF(COUNTIFS($A$6:$A$2005,A710,$B$6:$B$2005,B710)&gt;1,"DUPLICATE",""))</f>
        <v/>
      </c>
    </row>
    <row r="711" spans="1:7">
      <c r="A711" s="9"/>
      <c r="B711" s="12"/>
      <c r="C711" s="10"/>
      <c r="D711" s="10"/>
      <c r="E711" s="10"/>
      <c r="F711" s="9"/>
      <c r="G711" s="11">
        <f>IF(OR(A711="",B711=""),"",IF(COUNTIFS($A$6:$A$2005,A711,$B$6:$B$2005,B711)&gt;1,"DUPLICATE",""))</f>
        <v/>
      </c>
    </row>
    <row r="712" spans="1:7">
      <c r="A712" s="9"/>
      <c r="B712" s="12"/>
      <c r="C712" s="10"/>
      <c r="D712" s="10"/>
      <c r="E712" s="10"/>
      <c r="F712" s="9"/>
      <c r="G712" s="11">
        <f>IF(OR(A712="",B712=""),"",IF(COUNTIFS($A$6:$A$2005,A712,$B$6:$B$2005,B712)&gt;1,"DUPLICATE",""))</f>
        <v/>
      </c>
    </row>
    <row r="713" spans="1:7">
      <c r="A713" s="9"/>
      <c r="B713" s="12"/>
      <c r="C713" s="10"/>
      <c r="D713" s="10"/>
      <c r="E713" s="10"/>
      <c r="F713" s="9"/>
      <c r="G713" s="11">
        <f>IF(OR(A713="",B713=""),"",IF(COUNTIFS($A$6:$A$2005,A713,$B$6:$B$2005,B713)&gt;1,"DUPLICATE",""))</f>
        <v/>
      </c>
    </row>
    <row r="714" spans="1:7">
      <c r="A714" s="9"/>
      <c r="B714" s="12"/>
      <c r="C714" s="10"/>
      <c r="D714" s="10"/>
      <c r="E714" s="10"/>
      <c r="F714" s="9"/>
      <c r="G714" s="11">
        <f>IF(OR(A714="",B714=""),"",IF(COUNTIFS($A$6:$A$2005,A714,$B$6:$B$2005,B714)&gt;1,"DUPLICATE",""))</f>
        <v/>
      </c>
    </row>
    <row r="715" spans="1:7">
      <c r="A715" s="9"/>
      <c r="B715" s="12"/>
      <c r="C715" s="10"/>
      <c r="D715" s="10"/>
      <c r="E715" s="10"/>
      <c r="F715" s="9"/>
      <c r="G715" s="11">
        <f>IF(OR(A715="",B715=""),"",IF(COUNTIFS($A$6:$A$2005,A715,$B$6:$B$2005,B715)&gt;1,"DUPLICATE",""))</f>
        <v/>
      </c>
    </row>
    <row r="716" spans="1:7">
      <c r="A716" s="9"/>
      <c r="B716" s="12"/>
      <c r="C716" s="10"/>
      <c r="D716" s="10"/>
      <c r="E716" s="10"/>
      <c r="F716" s="9"/>
      <c r="G716" s="11">
        <f>IF(OR(A716="",B716=""),"",IF(COUNTIFS($A$6:$A$2005,A716,$B$6:$B$2005,B716)&gt;1,"DUPLICATE",""))</f>
        <v/>
      </c>
    </row>
    <row r="717" spans="1:7">
      <c r="A717" s="9"/>
      <c r="B717" s="12"/>
      <c r="C717" s="10"/>
      <c r="D717" s="10"/>
      <c r="E717" s="10"/>
      <c r="F717" s="9"/>
      <c r="G717" s="11">
        <f>IF(OR(A717="",B717=""),"",IF(COUNTIFS($A$6:$A$2005,A717,$B$6:$B$2005,B717)&gt;1,"DUPLICATE",""))</f>
        <v/>
      </c>
    </row>
    <row r="718" spans="1:7">
      <c r="A718" s="9"/>
      <c r="B718" s="12"/>
      <c r="C718" s="10"/>
      <c r="D718" s="10"/>
      <c r="E718" s="10"/>
      <c r="F718" s="9"/>
      <c r="G718" s="11">
        <f>IF(OR(A718="",B718=""),"",IF(COUNTIFS($A$6:$A$2005,A718,$B$6:$B$2005,B718)&gt;1,"DUPLICATE",""))</f>
        <v/>
      </c>
    </row>
    <row r="719" spans="1:7">
      <c r="A719" s="9"/>
      <c r="B719" s="12"/>
      <c r="C719" s="10"/>
      <c r="D719" s="10"/>
      <c r="E719" s="10"/>
      <c r="F719" s="9"/>
      <c r="G719" s="11">
        <f>IF(OR(A719="",B719=""),"",IF(COUNTIFS($A$6:$A$2005,A719,$B$6:$B$2005,B719)&gt;1,"DUPLICATE",""))</f>
        <v/>
      </c>
    </row>
    <row r="720" spans="1:7">
      <c r="A720" s="9"/>
      <c r="B720" s="12"/>
      <c r="C720" s="10"/>
      <c r="D720" s="10"/>
      <c r="E720" s="10"/>
      <c r="F720" s="9"/>
      <c r="G720" s="11">
        <f>IF(OR(A720="",B720=""),"",IF(COUNTIFS($A$6:$A$2005,A720,$B$6:$B$2005,B720)&gt;1,"DUPLICATE",""))</f>
        <v/>
      </c>
    </row>
    <row r="721" spans="1:7">
      <c r="A721" s="9"/>
      <c r="B721" s="12"/>
      <c r="C721" s="10"/>
      <c r="D721" s="10"/>
      <c r="E721" s="10"/>
      <c r="F721" s="9"/>
      <c r="G721" s="11">
        <f>IF(OR(A721="",B721=""),"",IF(COUNTIFS($A$6:$A$2005,A721,$B$6:$B$2005,B721)&gt;1,"DUPLICATE",""))</f>
        <v/>
      </c>
    </row>
    <row r="722" spans="1:7">
      <c r="A722" s="9"/>
      <c r="B722" s="12"/>
      <c r="C722" s="10"/>
      <c r="D722" s="10"/>
      <c r="E722" s="10"/>
      <c r="F722" s="9"/>
      <c r="G722" s="11">
        <f>IF(OR(A722="",B722=""),"",IF(COUNTIFS($A$6:$A$2005,A722,$B$6:$B$2005,B722)&gt;1,"DUPLICATE",""))</f>
        <v/>
      </c>
    </row>
    <row r="723" spans="1:7">
      <c r="A723" s="9"/>
      <c r="B723" s="12"/>
      <c r="C723" s="10"/>
      <c r="D723" s="10"/>
      <c r="E723" s="10"/>
      <c r="F723" s="9"/>
      <c r="G723" s="11">
        <f>IF(OR(A723="",B723=""),"",IF(COUNTIFS($A$6:$A$2005,A723,$B$6:$B$2005,B723)&gt;1,"DUPLICATE",""))</f>
        <v/>
      </c>
    </row>
    <row r="724" spans="1:7">
      <c r="A724" s="9"/>
      <c r="B724" s="12"/>
      <c r="C724" s="10"/>
      <c r="D724" s="10"/>
      <c r="E724" s="10"/>
      <c r="F724" s="9"/>
      <c r="G724" s="11">
        <f>IF(OR(A724="",B724=""),"",IF(COUNTIFS($A$6:$A$2005,A724,$B$6:$B$2005,B724)&gt;1,"DUPLICATE",""))</f>
        <v/>
      </c>
    </row>
    <row r="725" spans="1:7">
      <c r="A725" s="9"/>
      <c r="B725" s="12"/>
      <c r="C725" s="10"/>
      <c r="D725" s="10"/>
      <c r="E725" s="10"/>
      <c r="F725" s="9"/>
      <c r="G725" s="11">
        <f>IF(OR(A725="",B725=""),"",IF(COUNTIFS($A$6:$A$2005,A725,$B$6:$B$2005,B725)&gt;1,"DUPLICATE",""))</f>
        <v/>
      </c>
    </row>
    <row r="726" spans="1:7">
      <c r="A726" s="9"/>
      <c r="B726" s="12"/>
      <c r="C726" s="10"/>
      <c r="D726" s="10"/>
      <c r="E726" s="10"/>
      <c r="F726" s="9"/>
      <c r="G726" s="11">
        <f>IF(OR(A726="",B726=""),"",IF(COUNTIFS($A$6:$A$2005,A726,$B$6:$B$2005,B726)&gt;1,"DUPLICATE",""))</f>
        <v/>
      </c>
    </row>
    <row r="727" spans="1:7">
      <c r="A727" s="9"/>
      <c r="B727" s="12"/>
      <c r="C727" s="10"/>
      <c r="D727" s="10"/>
      <c r="E727" s="10"/>
      <c r="F727" s="9"/>
      <c r="G727" s="11">
        <f>IF(OR(A727="",B727=""),"",IF(COUNTIFS($A$6:$A$2005,A727,$B$6:$B$2005,B727)&gt;1,"DUPLICATE",""))</f>
        <v/>
      </c>
    </row>
    <row r="728" spans="1:7">
      <c r="A728" s="9"/>
      <c r="B728" s="12"/>
      <c r="C728" s="10"/>
      <c r="D728" s="10"/>
      <c r="E728" s="10"/>
      <c r="F728" s="9"/>
      <c r="G728" s="11">
        <f>IF(OR(A728="",B728=""),"",IF(COUNTIFS($A$6:$A$2005,A728,$B$6:$B$2005,B728)&gt;1,"DUPLICATE",""))</f>
        <v/>
      </c>
    </row>
    <row r="729" spans="1:7">
      <c r="A729" s="9"/>
      <c r="B729" s="12"/>
      <c r="C729" s="10"/>
      <c r="D729" s="10"/>
      <c r="E729" s="10"/>
      <c r="F729" s="9"/>
      <c r="G729" s="11">
        <f>IF(OR(A729="",B729=""),"",IF(COUNTIFS($A$6:$A$2005,A729,$B$6:$B$2005,B729)&gt;1,"DUPLICATE",""))</f>
        <v/>
      </c>
    </row>
    <row r="730" spans="1:7">
      <c r="A730" s="9"/>
      <c r="B730" s="12"/>
      <c r="C730" s="10"/>
      <c r="D730" s="10"/>
      <c r="E730" s="10"/>
      <c r="F730" s="9"/>
      <c r="G730" s="11">
        <f>IF(OR(A730="",B730=""),"",IF(COUNTIFS($A$6:$A$2005,A730,$B$6:$B$2005,B730)&gt;1,"DUPLICATE",""))</f>
        <v/>
      </c>
    </row>
    <row r="731" spans="1:7">
      <c r="A731" s="9"/>
      <c r="B731" s="12"/>
      <c r="C731" s="10"/>
      <c r="D731" s="10"/>
      <c r="E731" s="10"/>
      <c r="F731" s="9"/>
      <c r="G731" s="11">
        <f>IF(OR(A731="",B731=""),"",IF(COUNTIFS($A$6:$A$2005,A731,$B$6:$B$2005,B731)&gt;1,"DUPLICATE",""))</f>
        <v/>
      </c>
    </row>
    <row r="732" spans="1:7">
      <c r="A732" s="9"/>
      <c r="B732" s="12"/>
      <c r="C732" s="10"/>
      <c r="D732" s="10"/>
      <c r="E732" s="10"/>
      <c r="F732" s="9"/>
      <c r="G732" s="11">
        <f>IF(OR(A732="",B732=""),"",IF(COUNTIFS($A$6:$A$2005,A732,$B$6:$B$2005,B732)&gt;1,"DUPLICATE",""))</f>
        <v/>
      </c>
    </row>
    <row r="733" spans="1:7">
      <c r="A733" s="9"/>
      <c r="B733" s="12"/>
      <c r="C733" s="10"/>
      <c r="D733" s="10"/>
      <c r="E733" s="10"/>
      <c r="F733" s="9"/>
      <c r="G733" s="11">
        <f>IF(OR(A733="",B733=""),"",IF(COUNTIFS($A$6:$A$2005,A733,$B$6:$B$2005,B733)&gt;1,"DUPLICATE",""))</f>
        <v/>
      </c>
    </row>
    <row r="734" spans="1:7">
      <c r="A734" s="9"/>
      <c r="B734" s="12"/>
      <c r="C734" s="10"/>
      <c r="D734" s="10"/>
      <c r="E734" s="10"/>
      <c r="F734" s="9"/>
      <c r="G734" s="11">
        <f>IF(OR(A734="",B734=""),"",IF(COUNTIFS($A$6:$A$2005,A734,$B$6:$B$2005,B734)&gt;1,"DUPLICATE",""))</f>
        <v/>
      </c>
    </row>
    <row r="735" spans="1:7">
      <c r="A735" s="9"/>
      <c r="B735" s="12"/>
      <c r="C735" s="10"/>
      <c r="D735" s="10"/>
      <c r="E735" s="10"/>
      <c r="F735" s="9"/>
      <c r="G735" s="11">
        <f>IF(OR(A735="",B735=""),"",IF(COUNTIFS($A$6:$A$2005,A735,$B$6:$B$2005,B735)&gt;1,"DUPLICATE",""))</f>
        <v/>
      </c>
    </row>
    <row r="736" spans="1:7">
      <c r="A736" s="9"/>
      <c r="B736" s="12"/>
      <c r="C736" s="10"/>
      <c r="D736" s="10"/>
      <c r="E736" s="10"/>
      <c r="F736" s="9"/>
      <c r="G736" s="11">
        <f>IF(OR(A736="",B736=""),"",IF(COUNTIFS($A$6:$A$2005,A736,$B$6:$B$2005,B736)&gt;1,"DUPLICATE",""))</f>
        <v/>
      </c>
    </row>
    <row r="737" spans="1:7">
      <c r="A737" s="9"/>
      <c r="B737" s="12"/>
      <c r="C737" s="10"/>
      <c r="D737" s="10"/>
      <c r="E737" s="10"/>
      <c r="F737" s="9"/>
      <c r="G737" s="11">
        <f>IF(OR(A737="",B737=""),"",IF(COUNTIFS($A$6:$A$2005,A737,$B$6:$B$2005,B737)&gt;1,"DUPLICATE",""))</f>
        <v/>
      </c>
    </row>
    <row r="738" spans="1:7">
      <c r="A738" s="9"/>
      <c r="B738" s="12"/>
      <c r="C738" s="10"/>
      <c r="D738" s="10"/>
      <c r="E738" s="10"/>
      <c r="F738" s="9"/>
      <c r="G738" s="11">
        <f>IF(OR(A738="",B738=""),"",IF(COUNTIFS($A$6:$A$2005,A738,$B$6:$B$2005,B738)&gt;1,"DUPLICATE",""))</f>
        <v/>
      </c>
    </row>
    <row r="739" spans="1:7">
      <c r="A739" s="9"/>
      <c r="B739" s="12"/>
      <c r="C739" s="10"/>
      <c r="D739" s="10"/>
      <c r="E739" s="10"/>
      <c r="F739" s="9"/>
      <c r="G739" s="11">
        <f>IF(OR(A739="",B739=""),"",IF(COUNTIFS($A$6:$A$2005,A739,$B$6:$B$2005,B739)&gt;1,"DUPLICATE",""))</f>
        <v/>
      </c>
    </row>
    <row r="740" spans="1:7">
      <c r="A740" s="9"/>
      <c r="B740" s="12"/>
      <c r="C740" s="10"/>
      <c r="D740" s="10"/>
      <c r="E740" s="10"/>
      <c r="F740" s="9"/>
      <c r="G740" s="11">
        <f>IF(OR(A740="",B740=""),"",IF(COUNTIFS($A$6:$A$2005,A740,$B$6:$B$2005,B740)&gt;1,"DUPLICATE",""))</f>
        <v/>
      </c>
    </row>
    <row r="741" spans="1:7">
      <c r="A741" s="9"/>
      <c r="B741" s="12"/>
      <c r="C741" s="10"/>
      <c r="D741" s="10"/>
      <c r="E741" s="10"/>
      <c r="F741" s="9"/>
      <c r="G741" s="11">
        <f>IF(OR(A741="",B741=""),"",IF(COUNTIFS($A$6:$A$2005,A741,$B$6:$B$2005,B741)&gt;1,"DUPLICATE",""))</f>
        <v/>
      </c>
    </row>
    <row r="742" spans="1:7">
      <c r="A742" s="9"/>
      <c r="B742" s="12"/>
      <c r="C742" s="10"/>
      <c r="D742" s="10"/>
      <c r="E742" s="10"/>
      <c r="F742" s="9"/>
      <c r="G742" s="11">
        <f>IF(OR(A742="",B742=""),"",IF(COUNTIFS($A$6:$A$2005,A742,$B$6:$B$2005,B742)&gt;1,"DUPLICATE",""))</f>
        <v/>
      </c>
    </row>
    <row r="743" spans="1:7">
      <c r="A743" s="9"/>
      <c r="B743" s="12"/>
      <c r="C743" s="10"/>
      <c r="D743" s="10"/>
      <c r="E743" s="10"/>
      <c r="F743" s="9"/>
      <c r="G743" s="11">
        <f>IF(OR(A743="",B743=""),"",IF(COUNTIFS($A$6:$A$2005,A743,$B$6:$B$2005,B743)&gt;1,"DUPLICATE",""))</f>
        <v/>
      </c>
    </row>
    <row r="744" spans="1:7">
      <c r="A744" s="9"/>
      <c r="B744" s="12"/>
      <c r="C744" s="10"/>
      <c r="D744" s="10"/>
      <c r="E744" s="10"/>
      <c r="F744" s="9"/>
      <c r="G744" s="11">
        <f>IF(OR(A744="",B744=""),"",IF(COUNTIFS($A$6:$A$2005,A744,$B$6:$B$2005,B744)&gt;1,"DUPLICATE",""))</f>
        <v/>
      </c>
    </row>
    <row r="745" spans="1:7">
      <c r="A745" s="9"/>
      <c r="B745" s="12"/>
      <c r="C745" s="10"/>
      <c r="D745" s="10"/>
      <c r="E745" s="10"/>
      <c r="F745" s="9"/>
      <c r="G745" s="11">
        <f>IF(OR(A745="",B745=""),"",IF(COUNTIFS($A$6:$A$2005,A745,$B$6:$B$2005,B745)&gt;1,"DUPLICATE",""))</f>
        <v/>
      </c>
    </row>
    <row r="746" spans="1:7">
      <c r="A746" s="9"/>
      <c r="B746" s="12"/>
      <c r="C746" s="10"/>
      <c r="D746" s="10"/>
      <c r="E746" s="10"/>
      <c r="F746" s="9"/>
      <c r="G746" s="11">
        <f>IF(OR(A746="",B746=""),"",IF(COUNTIFS($A$6:$A$2005,A746,$B$6:$B$2005,B746)&gt;1,"DUPLICATE",""))</f>
        <v/>
      </c>
    </row>
    <row r="747" spans="1:7">
      <c r="A747" s="9"/>
      <c r="B747" s="12"/>
      <c r="C747" s="10"/>
      <c r="D747" s="10"/>
      <c r="E747" s="10"/>
      <c r="F747" s="9"/>
      <c r="G747" s="11">
        <f>IF(OR(A747="",B747=""),"",IF(COUNTIFS($A$6:$A$2005,A747,$B$6:$B$2005,B747)&gt;1,"DUPLICATE",""))</f>
        <v/>
      </c>
    </row>
    <row r="748" spans="1:7">
      <c r="A748" s="9"/>
      <c r="B748" s="12"/>
      <c r="C748" s="10"/>
      <c r="D748" s="10"/>
      <c r="E748" s="10"/>
      <c r="F748" s="9"/>
      <c r="G748" s="11">
        <f>IF(OR(A748="",B748=""),"",IF(COUNTIFS($A$6:$A$2005,A748,$B$6:$B$2005,B748)&gt;1,"DUPLICATE",""))</f>
        <v/>
      </c>
    </row>
    <row r="749" spans="1:7">
      <c r="A749" s="9"/>
      <c r="B749" s="12"/>
      <c r="C749" s="10"/>
      <c r="D749" s="10"/>
      <c r="E749" s="10"/>
      <c r="F749" s="9"/>
      <c r="G749" s="11">
        <f>IF(OR(A749="",B749=""),"",IF(COUNTIFS($A$6:$A$2005,A749,$B$6:$B$2005,B749)&gt;1,"DUPLICATE",""))</f>
        <v/>
      </c>
    </row>
    <row r="750" spans="1:7">
      <c r="A750" s="9"/>
      <c r="B750" s="12"/>
      <c r="C750" s="10"/>
      <c r="D750" s="10"/>
      <c r="E750" s="10"/>
      <c r="F750" s="9"/>
      <c r="G750" s="11">
        <f>IF(OR(A750="",B750=""),"",IF(COUNTIFS($A$6:$A$2005,A750,$B$6:$B$2005,B750)&gt;1,"DUPLICATE",""))</f>
        <v/>
      </c>
    </row>
    <row r="751" spans="1:7">
      <c r="A751" s="9"/>
      <c r="B751" s="12"/>
      <c r="C751" s="10"/>
      <c r="D751" s="10"/>
      <c r="E751" s="10"/>
      <c r="F751" s="9"/>
      <c r="G751" s="11">
        <f>IF(OR(A751="",B751=""),"",IF(COUNTIFS($A$6:$A$2005,A751,$B$6:$B$2005,B751)&gt;1,"DUPLICATE",""))</f>
        <v/>
      </c>
    </row>
    <row r="752" spans="1:7">
      <c r="A752" s="9"/>
      <c r="B752" s="12"/>
      <c r="C752" s="10"/>
      <c r="D752" s="10"/>
      <c r="E752" s="10"/>
      <c r="F752" s="9"/>
      <c r="G752" s="11">
        <f>IF(OR(A752="",B752=""),"",IF(COUNTIFS($A$6:$A$2005,A752,$B$6:$B$2005,B752)&gt;1,"DUPLICATE",""))</f>
        <v/>
      </c>
    </row>
    <row r="753" spans="1:7">
      <c r="A753" s="9"/>
      <c r="B753" s="12"/>
      <c r="C753" s="10"/>
      <c r="D753" s="10"/>
      <c r="E753" s="10"/>
      <c r="F753" s="9"/>
      <c r="G753" s="11">
        <f>IF(OR(A753="",B753=""),"",IF(COUNTIFS($A$6:$A$2005,A753,$B$6:$B$2005,B753)&gt;1,"DUPLICATE",""))</f>
        <v/>
      </c>
    </row>
    <row r="754" spans="1:7">
      <c r="A754" s="9"/>
      <c r="B754" s="12"/>
      <c r="C754" s="10"/>
      <c r="D754" s="10"/>
      <c r="E754" s="10"/>
      <c r="F754" s="9"/>
      <c r="G754" s="11">
        <f>IF(OR(A754="",B754=""),"",IF(COUNTIFS($A$6:$A$2005,A754,$B$6:$B$2005,B754)&gt;1,"DUPLICATE",""))</f>
        <v/>
      </c>
    </row>
    <row r="755" spans="1:7">
      <c r="A755" s="9"/>
      <c r="B755" s="12"/>
      <c r="C755" s="10"/>
      <c r="D755" s="10"/>
      <c r="E755" s="10"/>
      <c r="F755" s="9"/>
      <c r="G755" s="11">
        <f>IF(OR(A755="",B755=""),"",IF(COUNTIFS($A$6:$A$2005,A755,$B$6:$B$2005,B755)&gt;1,"DUPLICATE",""))</f>
        <v/>
      </c>
    </row>
    <row r="756" spans="1:7">
      <c r="A756" s="9"/>
      <c r="B756" s="12"/>
      <c r="C756" s="10"/>
      <c r="D756" s="10"/>
      <c r="E756" s="10"/>
      <c r="F756" s="9"/>
      <c r="G756" s="11">
        <f>IF(OR(A756="",B756=""),"",IF(COUNTIFS($A$6:$A$2005,A756,$B$6:$B$2005,B756)&gt;1,"DUPLICATE",""))</f>
        <v/>
      </c>
    </row>
    <row r="757" spans="1:7">
      <c r="A757" s="9"/>
      <c r="B757" s="12"/>
      <c r="C757" s="10"/>
      <c r="D757" s="10"/>
      <c r="E757" s="10"/>
      <c r="F757" s="9"/>
      <c r="G757" s="11">
        <f>IF(OR(A757="",B757=""),"",IF(COUNTIFS($A$6:$A$2005,A757,$B$6:$B$2005,B757)&gt;1,"DUPLICATE",""))</f>
        <v/>
      </c>
    </row>
    <row r="758" spans="1:7">
      <c r="A758" s="9"/>
      <c r="B758" s="12"/>
      <c r="C758" s="10"/>
      <c r="D758" s="10"/>
      <c r="E758" s="10"/>
      <c r="F758" s="9"/>
      <c r="G758" s="11">
        <f>IF(OR(A758="",B758=""),"",IF(COUNTIFS($A$6:$A$2005,A758,$B$6:$B$2005,B758)&gt;1,"DUPLICATE",""))</f>
        <v/>
      </c>
    </row>
    <row r="759" spans="1:7">
      <c r="A759" s="9"/>
      <c r="B759" s="12"/>
      <c r="C759" s="10"/>
      <c r="D759" s="10"/>
      <c r="E759" s="10"/>
      <c r="F759" s="9"/>
      <c r="G759" s="11">
        <f>IF(OR(A759="",B759=""),"",IF(COUNTIFS($A$6:$A$2005,A759,$B$6:$B$2005,B759)&gt;1,"DUPLICATE",""))</f>
        <v/>
      </c>
    </row>
    <row r="760" spans="1:7">
      <c r="A760" s="9"/>
      <c r="B760" s="12"/>
      <c r="C760" s="10"/>
      <c r="D760" s="10"/>
      <c r="E760" s="10"/>
      <c r="F760" s="9"/>
      <c r="G760" s="11">
        <f>IF(OR(A760="",B760=""),"",IF(COUNTIFS($A$6:$A$2005,A760,$B$6:$B$2005,B760)&gt;1,"DUPLICATE",""))</f>
        <v/>
      </c>
    </row>
    <row r="761" spans="1:7">
      <c r="A761" s="9"/>
      <c r="B761" s="12"/>
      <c r="C761" s="10"/>
      <c r="D761" s="10"/>
      <c r="E761" s="10"/>
      <c r="F761" s="9"/>
      <c r="G761" s="11">
        <f>IF(OR(A761="",B761=""),"",IF(COUNTIFS($A$6:$A$2005,A761,$B$6:$B$2005,B761)&gt;1,"DUPLICATE",""))</f>
        <v/>
      </c>
    </row>
    <row r="762" spans="1:7">
      <c r="A762" s="9"/>
      <c r="B762" s="12"/>
      <c r="C762" s="10"/>
      <c r="D762" s="10"/>
      <c r="E762" s="10"/>
      <c r="F762" s="9"/>
      <c r="G762" s="11">
        <f>IF(OR(A762="",B762=""),"",IF(COUNTIFS($A$6:$A$2005,A762,$B$6:$B$2005,B762)&gt;1,"DUPLICATE",""))</f>
        <v/>
      </c>
    </row>
    <row r="763" spans="1:7">
      <c r="A763" s="9"/>
      <c r="B763" s="12"/>
      <c r="C763" s="10"/>
      <c r="D763" s="10"/>
      <c r="E763" s="10"/>
      <c r="F763" s="9"/>
      <c r="G763" s="11">
        <f>IF(OR(A763="",B763=""),"",IF(COUNTIFS($A$6:$A$2005,A763,$B$6:$B$2005,B763)&gt;1,"DUPLICATE",""))</f>
        <v/>
      </c>
    </row>
    <row r="764" spans="1:7">
      <c r="A764" s="9"/>
      <c r="B764" s="12"/>
      <c r="C764" s="10"/>
      <c r="D764" s="10"/>
      <c r="E764" s="10"/>
      <c r="F764" s="9"/>
      <c r="G764" s="11">
        <f>IF(OR(A764="",B764=""),"",IF(COUNTIFS($A$6:$A$2005,A764,$B$6:$B$2005,B764)&gt;1,"DUPLICATE",""))</f>
        <v/>
      </c>
    </row>
    <row r="765" spans="1:7">
      <c r="A765" s="9"/>
      <c r="B765" s="12"/>
      <c r="C765" s="10"/>
      <c r="D765" s="10"/>
      <c r="E765" s="10"/>
      <c r="F765" s="9"/>
      <c r="G765" s="11">
        <f>IF(OR(A765="",B765=""),"",IF(COUNTIFS($A$6:$A$2005,A765,$B$6:$B$2005,B765)&gt;1,"DUPLICATE",""))</f>
        <v/>
      </c>
    </row>
    <row r="766" spans="1:7">
      <c r="A766" s="9"/>
      <c r="B766" s="12"/>
      <c r="C766" s="10"/>
      <c r="D766" s="10"/>
      <c r="E766" s="10"/>
      <c r="F766" s="9"/>
      <c r="G766" s="11">
        <f>IF(OR(A766="",B766=""),"",IF(COUNTIFS($A$6:$A$2005,A766,$B$6:$B$2005,B766)&gt;1,"DUPLICATE",""))</f>
        <v/>
      </c>
    </row>
    <row r="767" spans="1:7">
      <c r="A767" s="9"/>
      <c r="B767" s="12"/>
      <c r="C767" s="10"/>
      <c r="D767" s="10"/>
      <c r="E767" s="10"/>
      <c r="F767" s="9"/>
      <c r="G767" s="11">
        <f>IF(OR(A767="",B767=""),"",IF(COUNTIFS($A$6:$A$2005,A767,$B$6:$B$2005,B767)&gt;1,"DUPLICATE",""))</f>
        <v/>
      </c>
    </row>
    <row r="768" spans="1:7">
      <c r="A768" s="9"/>
      <c r="B768" s="12"/>
      <c r="C768" s="10"/>
      <c r="D768" s="10"/>
      <c r="E768" s="10"/>
      <c r="F768" s="9"/>
      <c r="G768" s="11">
        <f>IF(OR(A768="",B768=""),"",IF(COUNTIFS($A$6:$A$2005,A768,$B$6:$B$2005,B768)&gt;1,"DUPLICATE",""))</f>
        <v/>
      </c>
    </row>
    <row r="769" spans="1:7">
      <c r="A769" s="9"/>
      <c r="B769" s="12"/>
      <c r="C769" s="10"/>
      <c r="D769" s="10"/>
      <c r="E769" s="10"/>
      <c r="F769" s="9"/>
      <c r="G769" s="11">
        <f>IF(OR(A769="",B769=""),"",IF(COUNTIFS($A$6:$A$2005,A769,$B$6:$B$2005,B769)&gt;1,"DUPLICATE",""))</f>
        <v/>
      </c>
    </row>
    <row r="770" spans="1:7">
      <c r="A770" s="9"/>
      <c r="B770" s="12"/>
      <c r="C770" s="10"/>
      <c r="D770" s="10"/>
      <c r="E770" s="10"/>
      <c r="F770" s="9"/>
      <c r="G770" s="11">
        <f>IF(OR(A770="",B770=""),"",IF(COUNTIFS($A$6:$A$2005,A770,$B$6:$B$2005,B770)&gt;1,"DUPLICATE",""))</f>
        <v/>
      </c>
    </row>
    <row r="771" spans="1:7">
      <c r="A771" s="9"/>
      <c r="B771" s="12"/>
      <c r="C771" s="10"/>
      <c r="D771" s="10"/>
      <c r="E771" s="10"/>
      <c r="F771" s="9"/>
      <c r="G771" s="11">
        <f>IF(OR(A771="",B771=""),"",IF(COUNTIFS($A$6:$A$2005,A771,$B$6:$B$2005,B771)&gt;1,"DUPLICATE",""))</f>
        <v/>
      </c>
    </row>
    <row r="772" spans="1:7">
      <c r="A772" s="9"/>
      <c r="B772" s="12"/>
      <c r="C772" s="10"/>
      <c r="D772" s="10"/>
      <c r="E772" s="10"/>
      <c r="F772" s="9"/>
      <c r="G772" s="11">
        <f>IF(OR(A772="",B772=""),"",IF(COUNTIFS($A$6:$A$2005,A772,$B$6:$B$2005,B772)&gt;1,"DUPLICATE",""))</f>
        <v/>
      </c>
    </row>
    <row r="773" spans="1:7">
      <c r="A773" s="9"/>
      <c r="B773" s="12"/>
      <c r="C773" s="10"/>
      <c r="D773" s="10"/>
      <c r="E773" s="10"/>
      <c r="F773" s="9"/>
      <c r="G773" s="11">
        <f>IF(OR(A773="",B773=""),"",IF(COUNTIFS($A$6:$A$2005,A773,$B$6:$B$2005,B773)&gt;1,"DUPLICATE",""))</f>
        <v/>
      </c>
    </row>
    <row r="774" spans="1:7">
      <c r="A774" s="9"/>
      <c r="B774" s="12"/>
      <c r="C774" s="10"/>
      <c r="D774" s="10"/>
      <c r="E774" s="10"/>
      <c r="F774" s="9"/>
      <c r="G774" s="11">
        <f>IF(OR(A774="",B774=""),"",IF(COUNTIFS($A$6:$A$2005,A774,$B$6:$B$2005,B774)&gt;1,"DUPLICATE",""))</f>
        <v/>
      </c>
    </row>
    <row r="775" spans="1:7">
      <c r="A775" s="9"/>
      <c r="B775" s="12"/>
      <c r="C775" s="10"/>
      <c r="D775" s="10"/>
      <c r="E775" s="10"/>
      <c r="F775" s="9"/>
      <c r="G775" s="11">
        <f>IF(OR(A775="",B775=""),"",IF(COUNTIFS($A$6:$A$2005,A775,$B$6:$B$2005,B775)&gt;1,"DUPLICATE",""))</f>
        <v/>
      </c>
    </row>
    <row r="776" spans="1:7">
      <c r="A776" s="9"/>
      <c r="B776" s="12"/>
      <c r="C776" s="10"/>
      <c r="D776" s="10"/>
      <c r="E776" s="10"/>
      <c r="F776" s="9"/>
      <c r="G776" s="11">
        <f>IF(OR(A776="",B776=""),"",IF(COUNTIFS($A$6:$A$2005,A776,$B$6:$B$2005,B776)&gt;1,"DUPLICATE",""))</f>
        <v/>
      </c>
    </row>
    <row r="777" spans="1:7">
      <c r="A777" s="9"/>
      <c r="B777" s="12"/>
      <c r="C777" s="10"/>
      <c r="D777" s="10"/>
      <c r="E777" s="10"/>
      <c r="F777" s="9"/>
      <c r="G777" s="11">
        <f>IF(OR(A777="",B777=""),"",IF(COUNTIFS($A$6:$A$2005,A777,$B$6:$B$2005,B777)&gt;1,"DUPLICATE",""))</f>
        <v/>
      </c>
    </row>
    <row r="778" spans="1:7">
      <c r="A778" s="9"/>
      <c r="B778" s="12"/>
      <c r="C778" s="10"/>
      <c r="D778" s="10"/>
      <c r="E778" s="10"/>
      <c r="F778" s="9"/>
      <c r="G778" s="11">
        <f>IF(OR(A778="",B778=""),"",IF(COUNTIFS($A$6:$A$2005,A778,$B$6:$B$2005,B778)&gt;1,"DUPLICATE",""))</f>
        <v/>
      </c>
    </row>
    <row r="779" spans="1:7">
      <c r="A779" s="9"/>
      <c r="B779" s="12"/>
      <c r="C779" s="10"/>
      <c r="D779" s="10"/>
      <c r="E779" s="10"/>
      <c r="F779" s="9"/>
      <c r="G779" s="11">
        <f>IF(OR(A779="",B779=""),"",IF(COUNTIFS($A$6:$A$2005,A779,$B$6:$B$2005,B779)&gt;1,"DUPLICATE",""))</f>
        <v/>
      </c>
    </row>
    <row r="780" spans="1:7">
      <c r="A780" s="9"/>
      <c r="B780" s="12"/>
      <c r="C780" s="10"/>
      <c r="D780" s="10"/>
      <c r="E780" s="10"/>
      <c r="F780" s="9"/>
      <c r="G780" s="11">
        <f>IF(OR(A780="",B780=""),"",IF(COUNTIFS($A$6:$A$2005,A780,$B$6:$B$2005,B780)&gt;1,"DUPLICATE",""))</f>
        <v/>
      </c>
    </row>
    <row r="781" spans="1:7">
      <c r="A781" s="9"/>
      <c r="B781" s="12"/>
      <c r="C781" s="10"/>
      <c r="D781" s="10"/>
      <c r="E781" s="10"/>
      <c r="F781" s="9"/>
      <c r="G781" s="11">
        <f>IF(OR(A781="",B781=""),"",IF(COUNTIFS($A$6:$A$2005,A781,$B$6:$B$2005,B781)&gt;1,"DUPLICATE",""))</f>
        <v/>
      </c>
    </row>
    <row r="782" spans="1:7">
      <c r="A782" s="9"/>
      <c r="B782" s="12"/>
      <c r="C782" s="10"/>
      <c r="D782" s="10"/>
      <c r="E782" s="10"/>
      <c r="F782" s="9"/>
      <c r="G782" s="11">
        <f>IF(OR(A782="",B782=""),"",IF(COUNTIFS($A$6:$A$2005,A782,$B$6:$B$2005,B782)&gt;1,"DUPLICATE",""))</f>
        <v/>
      </c>
    </row>
    <row r="783" spans="1:7">
      <c r="A783" s="9"/>
      <c r="B783" s="12"/>
      <c r="C783" s="10"/>
      <c r="D783" s="10"/>
      <c r="E783" s="10"/>
      <c r="F783" s="9"/>
      <c r="G783" s="11">
        <f>IF(OR(A783="",B783=""),"",IF(COUNTIFS($A$6:$A$2005,A783,$B$6:$B$2005,B783)&gt;1,"DUPLICATE",""))</f>
        <v/>
      </c>
    </row>
    <row r="784" spans="1:7">
      <c r="A784" s="9"/>
      <c r="B784" s="12"/>
      <c r="C784" s="10"/>
      <c r="D784" s="10"/>
      <c r="E784" s="10"/>
      <c r="F784" s="9"/>
      <c r="G784" s="11">
        <f>IF(OR(A784="",B784=""),"",IF(COUNTIFS($A$6:$A$2005,A784,$B$6:$B$2005,B784)&gt;1,"DUPLICATE",""))</f>
        <v/>
      </c>
    </row>
    <row r="785" spans="1:7">
      <c r="A785" s="9"/>
      <c r="B785" s="12"/>
      <c r="C785" s="10"/>
      <c r="D785" s="10"/>
      <c r="E785" s="10"/>
      <c r="F785" s="9"/>
      <c r="G785" s="11">
        <f>IF(OR(A785="",B785=""),"",IF(COUNTIFS($A$6:$A$2005,A785,$B$6:$B$2005,B785)&gt;1,"DUPLICATE",""))</f>
        <v/>
      </c>
    </row>
    <row r="786" spans="1:7">
      <c r="A786" s="9"/>
      <c r="B786" s="12"/>
      <c r="C786" s="10"/>
      <c r="D786" s="10"/>
      <c r="E786" s="10"/>
      <c r="F786" s="9"/>
      <c r="G786" s="11">
        <f>IF(OR(A786="",B786=""),"",IF(COUNTIFS($A$6:$A$2005,A786,$B$6:$B$2005,B786)&gt;1,"DUPLICATE",""))</f>
        <v/>
      </c>
    </row>
    <row r="787" spans="1:7">
      <c r="A787" s="9"/>
      <c r="B787" s="12"/>
      <c r="C787" s="10"/>
      <c r="D787" s="10"/>
      <c r="E787" s="10"/>
      <c r="F787" s="9"/>
      <c r="G787" s="11">
        <f>IF(OR(A787="",B787=""),"",IF(COUNTIFS($A$6:$A$2005,A787,$B$6:$B$2005,B787)&gt;1,"DUPLICATE",""))</f>
        <v/>
      </c>
    </row>
    <row r="788" spans="1:7">
      <c r="A788" s="9"/>
      <c r="B788" s="12"/>
      <c r="C788" s="10"/>
      <c r="D788" s="10"/>
      <c r="E788" s="10"/>
      <c r="F788" s="9"/>
      <c r="G788" s="11">
        <f>IF(OR(A788="",B788=""),"",IF(COUNTIFS($A$6:$A$2005,A788,$B$6:$B$2005,B788)&gt;1,"DUPLICATE",""))</f>
        <v/>
      </c>
    </row>
    <row r="789" spans="1:7">
      <c r="A789" s="9"/>
      <c r="B789" s="12"/>
      <c r="C789" s="10"/>
      <c r="D789" s="10"/>
      <c r="E789" s="10"/>
      <c r="F789" s="9"/>
      <c r="G789" s="11">
        <f>IF(OR(A789="",B789=""),"",IF(COUNTIFS($A$6:$A$2005,A789,$B$6:$B$2005,B789)&gt;1,"DUPLICATE",""))</f>
        <v/>
      </c>
    </row>
    <row r="790" spans="1:7">
      <c r="A790" s="9"/>
      <c r="B790" s="12"/>
      <c r="C790" s="10"/>
      <c r="D790" s="10"/>
      <c r="E790" s="10"/>
      <c r="F790" s="9"/>
      <c r="G790" s="11">
        <f>IF(OR(A790="",B790=""),"",IF(COUNTIFS($A$6:$A$2005,A790,$B$6:$B$2005,B790)&gt;1,"DUPLICATE",""))</f>
        <v/>
      </c>
    </row>
    <row r="791" spans="1:7">
      <c r="A791" s="9"/>
      <c r="B791" s="12"/>
      <c r="C791" s="10"/>
      <c r="D791" s="10"/>
      <c r="E791" s="10"/>
      <c r="F791" s="9"/>
      <c r="G791" s="11">
        <f>IF(OR(A791="",B791=""),"",IF(COUNTIFS($A$6:$A$2005,A791,$B$6:$B$2005,B791)&gt;1,"DUPLICATE",""))</f>
        <v/>
      </c>
    </row>
    <row r="792" spans="1:7">
      <c r="A792" s="9"/>
      <c r="B792" s="12"/>
      <c r="C792" s="10"/>
      <c r="D792" s="10"/>
      <c r="E792" s="10"/>
      <c r="F792" s="9"/>
      <c r="G792" s="11">
        <f>IF(OR(A792="",B792=""),"",IF(COUNTIFS($A$6:$A$2005,A792,$B$6:$B$2005,B792)&gt;1,"DUPLICATE",""))</f>
        <v/>
      </c>
    </row>
    <row r="793" spans="1:7">
      <c r="A793" s="9"/>
      <c r="B793" s="12"/>
      <c r="C793" s="10"/>
      <c r="D793" s="10"/>
      <c r="E793" s="10"/>
      <c r="F793" s="9"/>
      <c r="G793" s="11">
        <f>IF(OR(A793="",B793=""),"",IF(COUNTIFS($A$6:$A$2005,A793,$B$6:$B$2005,B793)&gt;1,"DUPLICATE",""))</f>
        <v/>
      </c>
    </row>
    <row r="794" spans="1:7">
      <c r="A794" s="9"/>
      <c r="B794" s="12"/>
      <c r="C794" s="10"/>
      <c r="D794" s="10"/>
      <c r="E794" s="10"/>
      <c r="F794" s="9"/>
      <c r="G794" s="11">
        <f>IF(OR(A794="",B794=""),"",IF(COUNTIFS($A$6:$A$2005,A794,$B$6:$B$2005,B794)&gt;1,"DUPLICATE",""))</f>
        <v/>
      </c>
    </row>
    <row r="795" spans="1:7">
      <c r="A795" s="9"/>
      <c r="B795" s="12"/>
      <c r="C795" s="10"/>
      <c r="D795" s="10"/>
      <c r="E795" s="10"/>
      <c r="F795" s="9"/>
      <c r="G795" s="11">
        <f>IF(OR(A795="",B795=""),"",IF(COUNTIFS($A$6:$A$2005,A795,$B$6:$B$2005,B795)&gt;1,"DUPLICATE",""))</f>
        <v/>
      </c>
    </row>
    <row r="796" spans="1:7">
      <c r="A796" s="9"/>
      <c r="B796" s="12"/>
      <c r="C796" s="10"/>
      <c r="D796" s="10"/>
      <c r="E796" s="10"/>
      <c r="F796" s="9"/>
      <c r="G796" s="11">
        <f>IF(OR(A796="",B796=""),"",IF(COUNTIFS($A$6:$A$2005,A796,$B$6:$B$2005,B796)&gt;1,"DUPLICATE",""))</f>
        <v/>
      </c>
    </row>
    <row r="797" spans="1:7">
      <c r="A797" s="9"/>
      <c r="B797" s="12"/>
      <c r="C797" s="10"/>
      <c r="D797" s="10"/>
      <c r="E797" s="10"/>
      <c r="F797" s="9"/>
      <c r="G797" s="11">
        <f>IF(OR(A797="",B797=""),"",IF(COUNTIFS($A$6:$A$2005,A797,$B$6:$B$2005,B797)&gt;1,"DUPLICATE",""))</f>
        <v/>
      </c>
    </row>
    <row r="798" spans="1:7">
      <c r="A798" s="9"/>
      <c r="B798" s="12"/>
      <c r="C798" s="10"/>
      <c r="D798" s="10"/>
      <c r="E798" s="10"/>
      <c r="F798" s="9"/>
      <c r="G798" s="11">
        <f>IF(OR(A798="",B798=""),"",IF(COUNTIFS($A$6:$A$2005,A798,$B$6:$B$2005,B798)&gt;1,"DUPLICATE",""))</f>
        <v/>
      </c>
    </row>
    <row r="799" spans="1:7">
      <c r="A799" s="9"/>
      <c r="B799" s="12"/>
      <c r="C799" s="10"/>
      <c r="D799" s="10"/>
      <c r="E799" s="10"/>
      <c r="F799" s="9"/>
      <c r="G799" s="11">
        <f>IF(OR(A799="",B799=""),"",IF(COUNTIFS($A$6:$A$2005,A799,$B$6:$B$2005,B799)&gt;1,"DUPLICATE",""))</f>
        <v/>
      </c>
    </row>
    <row r="800" spans="1:7">
      <c r="A800" s="9"/>
      <c r="B800" s="12"/>
      <c r="C800" s="10"/>
      <c r="D800" s="10"/>
      <c r="E800" s="10"/>
      <c r="F800" s="9"/>
      <c r="G800" s="11">
        <f>IF(OR(A800="",B800=""),"",IF(COUNTIFS($A$6:$A$2005,A800,$B$6:$B$2005,B800)&gt;1,"DUPLICATE",""))</f>
        <v/>
      </c>
    </row>
    <row r="801" spans="1:7">
      <c r="A801" s="9"/>
      <c r="B801" s="12"/>
      <c r="C801" s="10"/>
      <c r="D801" s="10"/>
      <c r="E801" s="10"/>
      <c r="F801" s="9"/>
      <c r="G801" s="11">
        <f>IF(OR(A801="",B801=""),"",IF(COUNTIFS($A$6:$A$2005,A801,$B$6:$B$2005,B801)&gt;1,"DUPLICATE",""))</f>
        <v/>
      </c>
    </row>
    <row r="802" spans="1:7">
      <c r="A802" s="9"/>
      <c r="B802" s="12"/>
      <c r="C802" s="10"/>
      <c r="D802" s="10"/>
      <c r="E802" s="10"/>
      <c r="F802" s="9"/>
      <c r="G802" s="11">
        <f>IF(OR(A802="",B802=""),"",IF(COUNTIFS($A$6:$A$2005,A802,$B$6:$B$2005,B802)&gt;1,"DUPLICATE",""))</f>
        <v/>
      </c>
    </row>
    <row r="803" spans="1:7">
      <c r="A803" s="9"/>
      <c r="B803" s="12"/>
      <c r="C803" s="10"/>
      <c r="D803" s="10"/>
      <c r="E803" s="10"/>
      <c r="F803" s="9"/>
      <c r="G803" s="11">
        <f>IF(OR(A803="",B803=""),"",IF(COUNTIFS($A$6:$A$2005,A803,$B$6:$B$2005,B803)&gt;1,"DUPLICATE",""))</f>
        <v/>
      </c>
    </row>
    <row r="804" spans="1:7">
      <c r="A804" s="9"/>
      <c r="B804" s="12"/>
      <c r="C804" s="10"/>
      <c r="D804" s="10"/>
      <c r="E804" s="10"/>
      <c r="F804" s="9"/>
      <c r="G804" s="11">
        <f>IF(OR(A804="",B804=""),"",IF(COUNTIFS($A$6:$A$2005,A804,$B$6:$B$2005,B804)&gt;1,"DUPLICATE",""))</f>
        <v/>
      </c>
    </row>
    <row r="805" spans="1:7">
      <c r="A805" s="9"/>
      <c r="B805" s="12"/>
      <c r="C805" s="10"/>
      <c r="D805" s="10"/>
      <c r="E805" s="10"/>
      <c r="F805" s="9"/>
      <c r="G805" s="11">
        <f>IF(OR(A805="",B805=""),"",IF(COUNTIFS($A$6:$A$2005,A805,$B$6:$B$2005,B805)&gt;1,"DUPLICATE",""))</f>
        <v/>
      </c>
    </row>
    <row r="806" spans="1:7">
      <c r="A806" s="9"/>
      <c r="B806" s="12"/>
      <c r="C806" s="10"/>
      <c r="D806" s="10"/>
      <c r="E806" s="10"/>
      <c r="F806" s="9"/>
      <c r="G806" s="11">
        <f>IF(OR(A806="",B806=""),"",IF(COUNTIFS($A$6:$A$2005,A806,$B$6:$B$2005,B806)&gt;1,"DUPLICATE",""))</f>
        <v/>
      </c>
    </row>
    <row r="807" spans="1:7">
      <c r="A807" s="9"/>
      <c r="B807" s="12"/>
      <c r="C807" s="10"/>
      <c r="D807" s="10"/>
      <c r="E807" s="10"/>
      <c r="F807" s="9"/>
      <c r="G807" s="11">
        <f>IF(OR(A807="",B807=""),"",IF(COUNTIFS($A$6:$A$2005,A807,$B$6:$B$2005,B807)&gt;1,"DUPLICATE",""))</f>
        <v/>
      </c>
    </row>
    <row r="808" spans="1:7">
      <c r="A808" s="9"/>
      <c r="B808" s="12"/>
      <c r="C808" s="10"/>
      <c r="D808" s="10"/>
      <c r="E808" s="10"/>
      <c r="F808" s="9"/>
      <c r="G808" s="11">
        <f>IF(OR(A808="",B808=""),"",IF(COUNTIFS($A$6:$A$2005,A808,$B$6:$B$2005,B808)&gt;1,"DUPLICATE",""))</f>
        <v/>
      </c>
    </row>
    <row r="809" spans="1:7">
      <c r="A809" s="9"/>
      <c r="B809" s="12"/>
      <c r="C809" s="10"/>
      <c r="D809" s="10"/>
      <c r="E809" s="10"/>
      <c r="F809" s="9"/>
      <c r="G809" s="11">
        <f>IF(OR(A809="",B809=""),"",IF(COUNTIFS($A$6:$A$2005,A809,$B$6:$B$2005,B809)&gt;1,"DUPLICATE",""))</f>
        <v/>
      </c>
    </row>
    <row r="810" spans="1:7">
      <c r="A810" s="9"/>
      <c r="B810" s="12"/>
      <c r="C810" s="10"/>
      <c r="D810" s="10"/>
      <c r="E810" s="10"/>
      <c r="F810" s="9"/>
      <c r="G810" s="11">
        <f>IF(OR(A810="",B810=""),"",IF(COUNTIFS($A$6:$A$2005,A810,$B$6:$B$2005,B810)&gt;1,"DUPLICATE",""))</f>
        <v/>
      </c>
    </row>
    <row r="811" spans="1:7">
      <c r="A811" s="9"/>
      <c r="B811" s="12"/>
      <c r="C811" s="10"/>
      <c r="D811" s="10"/>
      <c r="E811" s="10"/>
      <c r="F811" s="9"/>
      <c r="G811" s="11">
        <f>IF(OR(A811="",B811=""),"",IF(COUNTIFS($A$6:$A$2005,A811,$B$6:$B$2005,B811)&gt;1,"DUPLICATE",""))</f>
        <v/>
      </c>
    </row>
    <row r="812" spans="1:7">
      <c r="A812" s="9"/>
      <c r="B812" s="12"/>
      <c r="C812" s="10"/>
      <c r="D812" s="10"/>
      <c r="E812" s="10"/>
      <c r="F812" s="9"/>
      <c r="G812" s="11">
        <f>IF(OR(A812="",B812=""),"",IF(COUNTIFS($A$6:$A$2005,A812,$B$6:$B$2005,B812)&gt;1,"DUPLICATE",""))</f>
        <v/>
      </c>
    </row>
    <row r="813" spans="1:7">
      <c r="A813" s="9"/>
      <c r="B813" s="12"/>
      <c r="C813" s="10"/>
      <c r="D813" s="10"/>
      <c r="E813" s="10"/>
      <c r="F813" s="9"/>
      <c r="G813" s="11">
        <f>IF(OR(A813="",B813=""),"",IF(COUNTIFS($A$6:$A$2005,A813,$B$6:$B$2005,B813)&gt;1,"DUPLICATE",""))</f>
        <v/>
      </c>
    </row>
    <row r="814" spans="1:7">
      <c r="A814" s="9"/>
      <c r="B814" s="12"/>
      <c r="C814" s="10"/>
      <c r="D814" s="10"/>
      <c r="E814" s="10"/>
      <c r="F814" s="9"/>
      <c r="G814" s="11">
        <f>IF(OR(A814="",B814=""),"",IF(COUNTIFS($A$6:$A$2005,A814,$B$6:$B$2005,B814)&gt;1,"DUPLICATE",""))</f>
        <v/>
      </c>
    </row>
    <row r="815" spans="1:7">
      <c r="A815" s="9"/>
      <c r="B815" s="12"/>
      <c r="C815" s="10"/>
      <c r="D815" s="10"/>
      <c r="E815" s="10"/>
      <c r="F815" s="9"/>
      <c r="G815" s="11">
        <f>IF(OR(A815="",B815=""),"",IF(COUNTIFS($A$6:$A$2005,A815,$B$6:$B$2005,B815)&gt;1,"DUPLICATE",""))</f>
        <v/>
      </c>
    </row>
    <row r="816" spans="1:7">
      <c r="A816" s="9"/>
      <c r="B816" s="12"/>
      <c r="C816" s="10"/>
      <c r="D816" s="10"/>
      <c r="E816" s="10"/>
      <c r="F816" s="9"/>
      <c r="G816" s="11">
        <f>IF(OR(A816="",B816=""),"",IF(COUNTIFS($A$6:$A$2005,A816,$B$6:$B$2005,B816)&gt;1,"DUPLICATE",""))</f>
        <v/>
      </c>
    </row>
    <row r="817" spans="1:7">
      <c r="A817" s="9"/>
      <c r="B817" s="12"/>
      <c r="C817" s="10"/>
      <c r="D817" s="10"/>
      <c r="E817" s="10"/>
      <c r="F817" s="9"/>
      <c r="G817" s="11">
        <f>IF(OR(A817="",B817=""),"",IF(COUNTIFS($A$6:$A$2005,A817,$B$6:$B$2005,B817)&gt;1,"DUPLICATE",""))</f>
        <v/>
      </c>
    </row>
    <row r="818" spans="1:7">
      <c r="A818" s="9"/>
      <c r="B818" s="12"/>
      <c r="C818" s="10"/>
      <c r="D818" s="10"/>
      <c r="E818" s="10"/>
      <c r="F818" s="9"/>
      <c r="G818" s="11">
        <f>IF(OR(A818="",B818=""),"",IF(COUNTIFS($A$6:$A$2005,A818,$B$6:$B$2005,B818)&gt;1,"DUPLICATE",""))</f>
        <v/>
      </c>
    </row>
    <row r="819" spans="1:7">
      <c r="A819" s="9"/>
      <c r="B819" s="12"/>
      <c r="C819" s="10"/>
      <c r="D819" s="10"/>
      <c r="E819" s="10"/>
      <c r="F819" s="9"/>
      <c r="G819" s="11">
        <f>IF(OR(A819="",B819=""),"",IF(COUNTIFS($A$6:$A$2005,A819,$B$6:$B$2005,B819)&gt;1,"DUPLICATE",""))</f>
        <v/>
      </c>
    </row>
    <row r="820" spans="1:7">
      <c r="A820" s="9"/>
      <c r="B820" s="12"/>
      <c r="C820" s="10"/>
      <c r="D820" s="10"/>
      <c r="E820" s="10"/>
      <c r="F820" s="9"/>
      <c r="G820" s="11">
        <f>IF(OR(A820="",B820=""),"",IF(COUNTIFS($A$6:$A$2005,A820,$B$6:$B$2005,B820)&gt;1,"DUPLICATE",""))</f>
        <v/>
      </c>
    </row>
    <row r="821" spans="1:7">
      <c r="A821" s="9"/>
      <c r="B821" s="12"/>
      <c r="C821" s="10"/>
      <c r="D821" s="10"/>
      <c r="E821" s="10"/>
      <c r="F821" s="9"/>
      <c r="G821" s="11">
        <f>IF(OR(A821="",B821=""),"",IF(COUNTIFS($A$6:$A$2005,A821,$B$6:$B$2005,B821)&gt;1,"DUPLICATE",""))</f>
        <v/>
      </c>
    </row>
    <row r="822" spans="1:7">
      <c r="A822" s="9"/>
      <c r="B822" s="12"/>
      <c r="C822" s="10"/>
      <c r="D822" s="10"/>
      <c r="E822" s="10"/>
      <c r="F822" s="9"/>
      <c r="G822" s="11">
        <f>IF(OR(A822="",B822=""),"",IF(COUNTIFS($A$6:$A$2005,A822,$B$6:$B$2005,B822)&gt;1,"DUPLICATE",""))</f>
        <v/>
      </c>
    </row>
    <row r="823" spans="1:7">
      <c r="A823" s="9"/>
      <c r="B823" s="12"/>
      <c r="C823" s="10"/>
      <c r="D823" s="10"/>
      <c r="E823" s="10"/>
      <c r="F823" s="9"/>
      <c r="G823" s="11">
        <f>IF(OR(A823="",B823=""),"",IF(COUNTIFS($A$6:$A$2005,A823,$B$6:$B$2005,B823)&gt;1,"DUPLICATE",""))</f>
        <v/>
      </c>
    </row>
    <row r="824" spans="1:7">
      <c r="A824" s="9"/>
      <c r="B824" s="12"/>
      <c r="C824" s="10"/>
      <c r="D824" s="10"/>
      <c r="E824" s="10"/>
      <c r="F824" s="9"/>
      <c r="G824" s="11">
        <f>IF(OR(A824="",B824=""),"",IF(COUNTIFS($A$6:$A$2005,A824,$B$6:$B$2005,B824)&gt;1,"DUPLICATE",""))</f>
        <v/>
      </c>
    </row>
    <row r="825" spans="1:7">
      <c r="A825" s="9"/>
      <c r="B825" s="12"/>
      <c r="C825" s="10"/>
      <c r="D825" s="10"/>
      <c r="E825" s="10"/>
      <c r="F825" s="9"/>
      <c r="G825" s="11">
        <f>IF(OR(A825="",B825=""),"",IF(COUNTIFS($A$6:$A$2005,A825,$B$6:$B$2005,B825)&gt;1,"DUPLICATE",""))</f>
        <v/>
      </c>
    </row>
    <row r="826" spans="1:7">
      <c r="A826" s="9"/>
      <c r="B826" s="12"/>
      <c r="C826" s="10"/>
      <c r="D826" s="10"/>
      <c r="E826" s="10"/>
      <c r="F826" s="9"/>
      <c r="G826" s="11">
        <f>IF(OR(A826="",B826=""),"",IF(COUNTIFS($A$6:$A$2005,A826,$B$6:$B$2005,B826)&gt;1,"DUPLICATE",""))</f>
        <v/>
      </c>
    </row>
    <row r="827" spans="1:7">
      <c r="A827" s="9"/>
      <c r="B827" s="12"/>
      <c r="C827" s="10"/>
      <c r="D827" s="10"/>
      <c r="E827" s="10"/>
      <c r="F827" s="9"/>
      <c r="G827" s="11">
        <f>IF(OR(A827="",B827=""),"",IF(COUNTIFS($A$6:$A$2005,A827,$B$6:$B$2005,B827)&gt;1,"DUPLICATE",""))</f>
        <v/>
      </c>
    </row>
    <row r="828" spans="1:7">
      <c r="A828" s="9"/>
      <c r="B828" s="12"/>
      <c r="C828" s="10"/>
      <c r="D828" s="10"/>
      <c r="E828" s="10"/>
      <c r="F828" s="9"/>
      <c r="G828" s="11">
        <f>IF(OR(A828="",B828=""),"",IF(COUNTIFS($A$6:$A$2005,A828,$B$6:$B$2005,B828)&gt;1,"DUPLICATE",""))</f>
        <v/>
      </c>
    </row>
    <row r="829" spans="1:7">
      <c r="A829" s="9"/>
      <c r="B829" s="12"/>
      <c r="C829" s="10"/>
      <c r="D829" s="10"/>
      <c r="E829" s="10"/>
      <c r="F829" s="9"/>
      <c r="G829" s="11">
        <f>IF(OR(A829="",B829=""),"",IF(COUNTIFS($A$6:$A$2005,A829,$B$6:$B$2005,B829)&gt;1,"DUPLICATE",""))</f>
        <v/>
      </c>
    </row>
    <row r="830" spans="1:7">
      <c r="A830" s="9"/>
      <c r="B830" s="12"/>
      <c r="C830" s="10"/>
      <c r="D830" s="10"/>
      <c r="E830" s="10"/>
      <c r="F830" s="9"/>
      <c r="G830" s="11">
        <f>IF(OR(A830="",B830=""),"",IF(COUNTIFS($A$6:$A$2005,A830,$B$6:$B$2005,B830)&gt;1,"DUPLICATE",""))</f>
        <v/>
      </c>
    </row>
    <row r="831" spans="1:7">
      <c r="A831" s="9"/>
      <c r="B831" s="12"/>
      <c r="C831" s="10"/>
      <c r="D831" s="10"/>
      <c r="E831" s="10"/>
      <c r="F831" s="9"/>
      <c r="G831" s="11">
        <f>IF(OR(A831="",B831=""),"",IF(COUNTIFS($A$6:$A$2005,A831,$B$6:$B$2005,B831)&gt;1,"DUPLICATE",""))</f>
        <v/>
      </c>
    </row>
    <row r="832" spans="1:7">
      <c r="A832" s="9"/>
      <c r="B832" s="12"/>
      <c r="C832" s="10"/>
      <c r="D832" s="10"/>
      <c r="E832" s="10"/>
      <c r="F832" s="9"/>
      <c r="G832" s="11">
        <f>IF(OR(A832="",B832=""),"",IF(COUNTIFS($A$6:$A$2005,A832,$B$6:$B$2005,B832)&gt;1,"DUPLICATE",""))</f>
        <v/>
      </c>
    </row>
    <row r="833" spans="1:7">
      <c r="A833" s="9"/>
      <c r="B833" s="12"/>
      <c r="C833" s="10"/>
      <c r="D833" s="10"/>
      <c r="E833" s="10"/>
      <c r="F833" s="9"/>
      <c r="G833" s="11">
        <f>IF(OR(A833="",B833=""),"",IF(COUNTIFS($A$6:$A$2005,A833,$B$6:$B$2005,B833)&gt;1,"DUPLICATE",""))</f>
        <v/>
      </c>
    </row>
    <row r="834" spans="1:7">
      <c r="A834" s="9"/>
      <c r="B834" s="12"/>
      <c r="C834" s="10"/>
      <c r="D834" s="10"/>
      <c r="E834" s="10"/>
      <c r="F834" s="9"/>
      <c r="G834" s="11">
        <f>IF(OR(A834="",B834=""),"",IF(COUNTIFS($A$6:$A$2005,A834,$B$6:$B$2005,B834)&gt;1,"DUPLICATE",""))</f>
        <v/>
      </c>
    </row>
    <row r="835" spans="1:7">
      <c r="A835" s="9"/>
      <c r="B835" s="12"/>
      <c r="C835" s="10"/>
      <c r="D835" s="10"/>
      <c r="E835" s="10"/>
      <c r="F835" s="9"/>
      <c r="G835" s="11">
        <f>IF(OR(A835="",B835=""),"",IF(COUNTIFS($A$6:$A$2005,A835,$B$6:$B$2005,B835)&gt;1,"DUPLICATE",""))</f>
        <v/>
      </c>
    </row>
    <row r="836" spans="1:7">
      <c r="A836" s="9"/>
      <c r="B836" s="12"/>
      <c r="C836" s="10"/>
      <c r="D836" s="10"/>
      <c r="E836" s="10"/>
      <c r="F836" s="9"/>
      <c r="G836" s="11">
        <f>IF(OR(A836="",B836=""),"",IF(COUNTIFS($A$6:$A$2005,A836,$B$6:$B$2005,B836)&gt;1,"DUPLICATE",""))</f>
        <v/>
      </c>
    </row>
    <row r="837" spans="1:7">
      <c r="A837" s="9"/>
      <c r="B837" s="12"/>
      <c r="C837" s="10"/>
      <c r="D837" s="10"/>
      <c r="E837" s="10"/>
      <c r="F837" s="9"/>
      <c r="G837" s="11">
        <f>IF(OR(A837="",B837=""),"",IF(COUNTIFS($A$6:$A$2005,A837,$B$6:$B$2005,B837)&gt;1,"DUPLICATE",""))</f>
        <v/>
      </c>
    </row>
    <row r="838" spans="1:7">
      <c r="A838" s="9"/>
      <c r="B838" s="12"/>
      <c r="C838" s="10"/>
      <c r="D838" s="10"/>
      <c r="E838" s="10"/>
      <c r="F838" s="9"/>
      <c r="G838" s="11">
        <f>IF(OR(A838="",B838=""),"",IF(COUNTIFS($A$6:$A$2005,A838,$B$6:$B$2005,B838)&gt;1,"DUPLICATE",""))</f>
        <v/>
      </c>
    </row>
    <row r="839" spans="1:7">
      <c r="A839" s="9"/>
      <c r="B839" s="12"/>
      <c r="C839" s="10"/>
      <c r="D839" s="10"/>
      <c r="E839" s="10"/>
      <c r="F839" s="9"/>
      <c r="G839" s="11">
        <f>IF(OR(A839="",B839=""),"",IF(COUNTIFS($A$6:$A$2005,A839,$B$6:$B$2005,B839)&gt;1,"DUPLICATE",""))</f>
        <v/>
      </c>
    </row>
    <row r="840" spans="1:7">
      <c r="A840" s="9"/>
      <c r="B840" s="12"/>
      <c r="C840" s="10"/>
      <c r="D840" s="10"/>
      <c r="E840" s="10"/>
      <c r="F840" s="9"/>
      <c r="G840" s="11">
        <f>IF(OR(A840="",B840=""),"",IF(COUNTIFS($A$6:$A$2005,A840,$B$6:$B$2005,B840)&gt;1,"DUPLICATE",""))</f>
        <v/>
      </c>
    </row>
    <row r="841" spans="1:7">
      <c r="A841" s="9"/>
      <c r="B841" s="12"/>
      <c r="C841" s="10"/>
      <c r="D841" s="10"/>
      <c r="E841" s="10"/>
      <c r="F841" s="9"/>
      <c r="G841" s="11">
        <f>IF(OR(A841="",B841=""),"",IF(COUNTIFS($A$6:$A$2005,A841,$B$6:$B$2005,B841)&gt;1,"DUPLICATE",""))</f>
        <v/>
      </c>
    </row>
    <row r="842" spans="1:7">
      <c r="A842" s="9"/>
      <c r="B842" s="12"/>
      <c r="C842" s="10"/>
      <c r="D842" s="10"/>
      <c r="E842" s="10"/>
      <c r="F842" s="9"/>
      <c r="G842" s="11">
        <f>IF(OR(A842="",B842=""),"",IF(COUNTIFS($A$6:$A$2005,A842,$B$6:$B$2005,B842)&gt;1,"DUPLICATE",""))</f>
        <v/>
      </c>
    </row>
    <row r="843" spans="1:7">
      <c r="A843" s="9"/>
      <c r="B843" s="12"/>
      <c r="C843" s="10"/>
      <c r="D843" s="10"/>
      <c r="E843" s="10"/>
      <c r="F843" s="9"/>
      <c r="G843" s="11">
        <f>IF(OR(A843="",B843=""),"",IF(COUNTIFS($A$6:$A$2005,A843,$B$6:$B$2005,B843)&gt;1,"DUPLICATE",""))</f>
        <v/>
      </c>
    </row>
    <row r="844" spans="1:7">
      <c r="A844" s="9"/>
      <c r="B844" s="12"/>
      <c r="C844" s="10"/>
      <c r="D844" s="10"/>
      <c r="E844" s="10"/>
      <c r="F844" s="9"/>
      <c r="G844" s="11">
        <f>IF(OR(A844="",B844=""),"",IF(COUNTIFS($A$6:$A$2005,A844,$B$6:$B$2005,B844)&gt;1,"DUPLICATE",""))</f>
        <v/>
      </c>
    </row>
    <row r="845" spans="1:7">
      <c r="A845" s="9"/>
      <c r="B845" s="12"/>
      <c r="C845" s="10"/>
      <c r="D845" s="10"/>
      <c r="E845" s="10"/>
      <c r="F845" s="9"/>
      <c r="G845" s="11">
        <f>IF(OR(A845="",B845=""),"",IF(COUNTIFS($A$6:$A$2005,A845,$B$6:$B$2005,B845)&gt;1,"DUPLICATE",""))</f>
        <v/>
      </c>
    </row>
    <row r="846" spans="1:7">
      <c r="A846" s="9"/>
      <c r="B846" s="12"/>
      <c r="C846" s="10"/>
      <c r="D846" s="10"/>
      <c r="E846" s="10"/>
      <c r="F846" s="9"/>
      <c r="G846" s="11">
        <f>IF(OR(A846="",B846=""),"",IF(COUNTIFS($A$6:$A$2005,A846,$B$6:$B$2005,B846)&gt;1,"DUPLICATE",""))</f>
        <v/>
      </c>
    </row>
    <row r="847" spans="1:7">
      <c r="A847" s="9"/>
      <c r="B847" s="12"/>
      <c r="C847" s="10"/>
      <c r="D847" s="10"/>
      <c r="E847" s="10"/>
      <c r="F847" s="9"/>
      <c r="G847" s="11">
        <f>IF(OR(A847="",B847=""),"",IF(COUNTIFS($A$6:$A$2005,A847,$B$6:$B$2005,B847)&gt;1,"DUPLICATE",""))</f>
        <v/>
      </c>
    </row>
    <row r="848" spans="1:7">
      <c r="A848" s="9"/>
      <c r="B848" s="12"/>
      <c r="C848" s="10"/>
      <c r="D848" s="10"/>
      <c r="E848" s="10"/>
      <c r="F848" s="9"/>
      <c r="G848" s="11">
        <f>IF(OR(A848="",B848=""),"",IF(COUNTIFS($A$6:$A$2005,A848,$B$6:$B$2005,B848)&gt;1,"DUPLICATE",""))</f>
        <v/>
      </c>
    </row>
    <row r="849" spans="1:7">
      <c r="A849" s="9"/>
      <c r="B849" s="12"/>
      <c r="C849" s="10"/>
      <c r="D849" s="10"/>
      <c r="E849" s="10"/>
      <c r="F849" s="9"/>
      <c r="G849" s="11">
        <f>IF(OR(A849="",B849=""),"",IF(COUNTIFS($A$6:$A$2005,A849,$B$6:$B$2005,B849)&gt;1,"DUPLICATE",""))</f>
        <v/>
      </c>
    </row>
    <row r="850" spans="1:7">
      <c r="A850" s="9"/>
      <c r="B850" s="12"/>
      <c r="C850" s="10"/>
      <c r="D850" s="10"/>
      <c r="E850" s="10"/>
      <c r="F850" s="9"/>
      <c r="G850" s="11">
        <f>IF(OR(A850="",B850=""),"",IF(COUNTIFS($A$6:$A$2005,A850,$B$6:$B$2005,B850)&gt;1,"DUPLICATE",""))</f>
        <v/>
      </c>
    </row>
    <row r="851" spans="1:7">
      <c r="A851" s="9"/>
      <c r="B851" s="12"/>
      <c r="C851" s="10"/>
      <c r="D851" s="10"/>
      <c r="E851" s="10"/>
      <c r="F851" s="9"/>
      <c r="G851" s="11">
        <f>IF(OR(A851="",B851=""),"",IF(COUNTIFS($A$6:$A$2005,A851,$B$6:$B$2005,B851)&gt;1,"DUPLICATE",""))</f>
        <v/>
      </c>
    </row>
    <row r="852" spans="1:7">
      <c r="A852" s="9"/>
      <c r="B852" s="12"/>
      <c r="C852" s="10"/>
      <c r="D852" s="10"/>
      <c r="E852" s="10"/>
      <c r="F852" s="9"/>
      <c r="G852" s="11">
        <f>IF(OR(A852="",B852=""),"",IF(COUNTIFS($A$6:$A$2005,A852,$B$6:$B$2005,B852)&gt;1,"DUPLICATE",""))</f>
        <v/>
      </c>
    </row>
    <row r="853" spans="1:7">
      <c r="A853" s="9"/>
      <c r="B853" s="12"/>
      <c r="C853" s="10"/>
      <c r="D853" s="10"/>
      <c r="E853" s="10"/>
      <c r="F853" s="9"/>
      <c r="G853" s="11">
        <f>IF(OR(A853="",B853=""),"",IF(COUNTIFS($A$6:$A$2005,A853,$B$6:$B$2005,B853)&gt;1,"DUPLICATE",""))</f>
        <v/>
      </c>
    </row>
    <row r="854" spans="1:7">
      <c r="A854" s="9"/>
      <c r="B854" s="12"/>
      <c r="C854" s="10"/>
      <c r="D854" s="10"/>
      <c r="E854" s="10"/>
      <c r="F854" s="9"/>
      <c r="G854" s="11">
        <f>IF(OR(A854="",B854=""),"",IF(COUNTIFS($A$6:$A$2005,A854,$B$6:$B$2005,B854)&gt;1,"DUPLICATE",""))</f>
        <v/>
      </c>
    </row>
    <row r="855" spans="1:7">
      <c r="A855" s="9"/>
      <c r="B855" s="12"/>
      <c r="C855" s="10"/>
      <c r="D855" s="10"/>
      <c r="E855" s="10"/>
      <c r="F855" s="9"/>
      <c r="G855" s="11">
        <f>IF(OR(A855="",B855=""),"",IF(COUNTIFS($A$6:$A$2005,A855,$B$6:$B$2005,B855)&gt;1,"DUPLICATE",""))</f>
        <v/>
      </c>
    </row>
    <row r="856" spans="1:7">
      <c r="A856" s="9"/>
      <c r="B856" s="12"/>
      <c r="C856" s="10"/>
      <c r="D856" s="10"/>
      <c r="E856" s="10"/>
      <c r="F856" s="9"/>
      <c r="G856" s="11">
        <f>IF(OR(A856="",B856=""),"",IF(COUNTIFS($A$6:$A$2005,A856,$B$6:$B$2005,B856)&gt;1,"DUPLICATE",""))</f>
        <v/>
      </c>
    </row>
    <row r="857" spans="1:7">
      <c r="A857" s="9"/>
      <c r="B857" s="12"/>
      <c r="C857" s="10"/>
      <c r="D857" s="10"/>
      <c r="E857" s="10"/>
      <c r="F857" s="9"/>
      <c r="G857" s="11">
        <f>IF(OR(A857="",B857=""),"",IF(COUNTIFS($A$6:$A$2005,A857,$B$6:$B$2005,B857)&gt;1,"DUPLICATE",""))</f>
        <v/>
      </c>
    </row>
    <row r="858" spans="1:7">
      <c r="A858" s="9"/>
      <c r="B858" s="12"/>
      <c r="C858" s="10"/>
      <c r="D858" s="10"/>
      <c r="E858" s="10"/>
      <c r="F858" s="9"/>
      <c r="G858" s="11">
        <f>IF(OR(A858="",B858=""),"",IF(COUNTIFS($A$6:$A$2005,A858,$B$6:$B$2005,B858)&gt;1,"DUPLICATE",""))</f>
        <v/>
      </c>
    </row>
    <row r="859" spans="1:7">
      <c r="A859" s="9"/>
      <c r="B859" s="12"/>
      <c r="C859" s="10"/>
      <c r="D859" s="10"/>
      <c r="E859" s="10"/>
      <c r="F859" s="9"/>
      <c r="G859" s="11">
        <f>IF(OR(A859="",B859=""),"",IF(COUNTIFS($A$6:$A$2005,A859,$B$6:$B$2005,B859)&gt;1,"DUPLICATE",""))</f>
        <v/>
      </c>
    </row>
    <row r="860" spans="1:7">
      <c r="A860" s="9"/>
      <c r="B860" s="12"/>
      <c r="C860" s="10"/>
      <c r="D860" s="10"/>
      <c r="E860" s="10"/>
      <c r="F860" s="9"/>
      <c r="G860" s="11">
        <f>IF(OR(A860="",B860=""),"",IF(COUNTIFS($A$6:$A$2005,A860,$B$6:$B$2005,B860)&gt;1,"DUPLICATE",""))</f>
        <v/>
      </c>
    </row>
    <row r="861" spans="1:7">
      <c r="A861" s="9"/>
      <c r="B861" s="12"/>
      <c r="C861" s="10"/>
      <c r="D861" s="10"/>
      <c r="E861" s="10"/>
      <c r="F861" s="9"/>
      <c r="G861" s="11">
        <f>IF(OR(A861="",B861=""),"",IF(COUNTIFS($A$6:$A$2005,A861,$B$6:$B$2005,B861)&gt;1,"DUPLICATE",""))</f>
        <v/>
      </c>
    </row>
    <row r="862" spans="1:7">
      <c r="A862" s="9"/>
      <c r="B862" s="12"/>
      <c r="C862" s="10"/>
      <c r="D862" s="10"/>
      <c r="E862" s="10"/>
      <c r="F862" s="9"/>
      <c r="G862" s="11">
        <f>IF(OR(A862="",B862=""),"",IF(COUNTIFS($A$6:$A$2005,A862,$B$6:$B$2005,B862)&gt;1,"DUPLICATE",""))</f>
        <v/>
      </c>
    </row>
    <row r="863" spans="1:7">
      <c r="A863" s="9"/>
      <c r="B863" s="12"/>
      <c r="C863" s="10"/>
      <c r="D863" s="10"/>
      <c r="E863" s="10"/>
      <c r="F863" s="9"/>
      <c r="G863" s="11">
        <f>IF(OR(A863="",B863=""),"",IF(COUNTIFS($A$6:$A$2005,A863,$B$6:$B$2005,B863)&gt;1,"DUPLICATE",""))</f>
        <v/>
      </c>
    </row>
    <row r="864" spans="1:7">
      <c r="A864" s="9"/>
      <c r="B864" s="12"/>
      <c r="C864" s="10"/>
      <c r="D864" s="10"/>
      <c r="E864" s="10"/>
      <c r="F864" s="9"/>
      <c r="G864" s="11">
        <f>IF(OR(A864="",B864=""),"",IF(COUNTIFS($A$6:$A$2005,A864,$B$6:$B$2005,B864)&gt;1,"DUPLICATE",""))</f>
        <v/>
      </c>
    </row>
    <row r="865" spans="1:7">
      <c r="A865" s="9"/>
      <c r="B865" s="12"/>
      <c r="C865" s="10"/>
      <c r="D865" s="10"/>
      <c r="E865" s="10"/>
      <c r="F865" s="9"/>
      <c r="G865" s="11">
        <f>IF(OR(A865="",B865=""),"",IF(COUNTIFS($A$6:$A$2005,A865,$B$6:$B$2005,B865)&gt;1,"DUPLICATE",""))</f>
        <v/>
      </c>
    </row>
    <row r="866" spans="1:7">
      <c r="A866" s="9"/>
      <c r="B866" s="12"/>
      <c r="C866" s="10"/>
      <c r="D866" s="10"/>
      <c r="E866" s="10"/>
      <c r="F866" s="9"/>
      <c r="G866" s="11">
        <f>IF(OR(A866="",B866=""),"",IF(COUNTIFS($A$6:$A$2005,A866,$B$6:$B$2005,B866)&gt;1,"DUPLICATE",""))</f>
        <v/>
      </c>
    </row>
    <row r="867" spans="1:7">
      <c r="A867" s="9"/>
      <c r="B867" s="12"/>
      <c r="C867" s="10"/>
      <c r="D867" s="10"/>
      <c r="E867" s="10"/>
      <c r="F867" s="9"/>
      <c r="G867" s="11">
        <f>IF(OR(A867="",B867=""),"",IF(COUNTIFS($A$6:$A$2005,A867,$B$6:$B$2005,B867)&gt;1,"DUPLICATE",""))</f>
        <v/>
      </c>
    </row>
    <row r="868" spans="1:7">
      <c r="A868" s="9"/>
      <c r="B868" s="12"/>
      <c r="C868" s="10"/>
      <c r="D868" s="10"/>
      <c r="E868" s="10"/>
      <c r="F868" s="9"/>
      <c r="G868" s="11">
        <f>IF(OR(A868="",B868=""),"",IF(COUNTIFS($A$6:$A$2005,A868,$B$6:$B$2005,B868)&gt;1,"DUPLICATE",""))</f>
        <v/>
      </c>
    </row>
    <row r="869" spans="1:7">
      <c r="A869" s="9"/>
      <c r="B869" s="12"/>
      <c r="C869" s="10"/>
      <c r="D869" s="10"/>
      <c r="E869" s="10"/>
      <c r="F869" s="9"/>
      <c r="G869" s="11">
        <f>IF(OR(A869="",B869=""),"",IF(COUNTIFS($A$6:$A$2005,A869,$B$6:$B$2005,B869)&gt;1,"DUPLICATE",""))</f>
        <v/>
      </c>
    </row>
    <row r="870" spans="1:7">
      <c r="A870" s="9"/>
      <c r="B870" s="12"/>
      <c r="C870" s="10"/>
      <c r="D870" s="10"/>
      <c r="E870" s="10"/>
      <c r="F870" s="9"/>
      <c r="G870" s="11">
        <f>IF(OR(A870="",B870=""),"",IF(COUNTIFS($A$6:$A$2005,A870,$B$6:$B$2005,B870)&gt;1,"DUPLICATE",""))</f>
        <v/>
      </c>
    </row>
    <row r="871" spans="1:7">
      <c r="A871" s="9"/>
      <c r="B871" s="12"/>
      <c r="C871" s="10"/>
      <c r="D871" s="10"/>
      <c r="E871" s="10"/>
      <c r="F871" s="9"/>
      <c r="G871" s="11">
        <f>IF(OR(A871="",B871=""),"",IF(COUNTIFS($A$6:$A$2005,A871,$B$6:$B$2005,B871)&gt;1,"DUPLICATE",""))</f>
        <v/>
      </c>
    </row>
    <row r="872" spans="1:7">
      <c r="A872" s="9"/>
      <c r="B872" s="12"/>
      <c r="C872" s="10"/>
      <c r="D872" s="10"/>
      <c r="E872" s="10"/>
      <c r="F872" s="9"/>
      <c r="G872" s="11">
        <f>IF(OR(A872="",B872=""),"",IF(COUNTIFS($A$6:$A$2005,A872,$B$6:$B$2005,B872)&gt;1,"DUPLICATE",""))</f>
        <v/>
      </c>
    </row>
    <row r="873" spans="1:7">
      <c r="A873" s="9"/>
      <c r="B873" s="12"/>
      <c r="C873" s="10"/>
      <c r="D873" s="10"/>
      <c r="E873" s="10"/>
      <c r="F873" s="9"/>
      <c r="G873" s="11">
        <f>IF(OR(A873="",B873=""),"",IF(COUNTIFS($A$6:$A$2005,A873,$B$6:$B$2005,B873)&gt;1,"DUPLICATE",""))</f>
        <v/>
      </c>
    </row>
    <row r="874" spans="1:7">
      <c r="A874" s="9"/>
      <c r="B874" s="12"/>
      <c r="C874" s="10"/>
      <c r="D874" s="10"/>
      <c r="E874" s="10"/>
      <c r="F874" s="9"/>
      <c r="G874" s="11">
        <f>IF(OR(A874="",B874=""),"",IF(COUNTIFS($A$6:$A$2005,A874,$B$6:$B$2005,B874)&gt;1,"DUPLICATE",""))</f>
        <v/>
      </c>
    </row>
    <row r="875" spans="1:7">
      <c r="A875" s="9"/>
      <c r="B875" s="12"/>
      <c r="C875" s="10"/>
      <c r="D875" s="10"/>
      <c r="E875" s="10"/>
      <c r="F875" s="9"/>
      <c r="G875" s="11">
        <f>IF(OR(A875="",B875=""),"",IF(COUNTIFS($A$6:$A$2005,A875,$B$6:$B$2005,B875)&gt;1,"DUPLICATE",""))</f>
        <v/>
      </c>
    </row>
    <row r="876" spans="1:7">
      <c r="A876" s="9"/>
      <c r="B876" s="12"/>
      <c r="C876" s="10"/>
      <c r="D876" s="10"/>
      <c r="E876" s="10"/>
      <c r="F876" s="9"/>
      <c r="G876" s="11">
        <f>IF(OR(A876="",B876=""),"",IF(COUNTIFS($A$6:$A$2005,A876,$B$6:$B$2005,B876)&gt;1,"DUPLICATE",""))</f>
        <v/>
      </c>
    </row>
    <row r="877" spans="1:7">
      <c r="A877" s="9"/>
      <c r="B877" s="12"/>
      <c r="C877" s="10"/>
      <c r="D877" s="10"/>
      <c r="E877" s="10"/>
      <c r="F877" s="9"/>
      <c r="G877" s="11">
        <f>IF(OR(A877="",B877=""),"",IF(COUNTIFS($A$6:$A$2005,A877,$B$6:$B$2005,B877)&gt;1,"DUPLICATE",""))</f>
        <v/>
      </c>
    </row>
    <row r="878" spans="1:7">
      <c r="A878" s="9"/>
      <c r="B878" s="12"/>
      <c r="C878" s="10"/>
      <c r="D878" s="10"/>
      <c r="E878" s="10"/>
      <c r="F878" s="9"/>
      <c r="G878" s="11">
        <f>IF(OR(A878="",B878=""),"",IF(COUNTIFS($A$6:$A$2005,A878,$B$6:$B$2005,B878)&gt;1,"DUPLICATE",""))</f>
        <v/>
      </c>
    </row>
    <row r="879" spans="1:7">
      <c r="A879" s="9"/>
      <c r="B879" s="12"/>
      <c r="C879" s="10"/>
      <c r="D879" s="10"/>
      <c r="E879" s="10"/>
      <c r="F879" s="9"/>
      <c r="G879" s="11">
        <f>IF(OR(A879="",B879=""),"",IF(COUNTIFS($A$6:$A$2005,A879,$B$6:$B$2005,B879)&gt;1,"DUPLICATE",""))</f>
        <v/>
      </c>
    </row>
    <row r="880" spans="1:7">
      <c r="A880" s="9"/>
      <c r="B880" s="12"/>
      <c r="C880" s="10"/>
      <c r="D880" s="10"/>
      <c r="E880" s="10"/>
      <c r="F880" s="9"/>
      <c r="G880" s="11">
        <f>IF(OR(A880="",B880=""),"",IF(COUNTIFS($A$6:$A$2005,A880,$B$6:$B$2005,B880)&gt;1,"DUPLICATE",""))</f>
        <v/>
      </c>
    </row>
    <row r="881" spans="1:7">
      <c r="A881" s="9"/>
      <c r="B881" s="12"/>
      <c r="C881" s="10"/>
      <c r="D881" s="10"/>
      <c r="E881" s="10"/>
      <c r="F881" s="9"/>
      <c r="G881" s="11">
        <f>IF(OR(A881="",B881=""),"",IF(COUNTIFS($A$6:$A$2005,A881,$B$6:$B$2005,B881)&gt;1,"DUPLICATE",""))</f>
        <v/>
      </c>
    </row>
    <row r="882" spans="1:7">
      <c r="A882" s="9"/>
      <c r="B882" s="12"/>
      <c r="C882" s="10"/>
      <c r="D882" s="10"/>
      <c r="E882" s="10"/>
      <c r="F882" s="9"/>
      <c r="G882" s="11">
        <f>IF(OR(A882="",B882=""),"",IF(COUNTIFS($A$6:$A$2005,A882,$B$6:$B$2005,B882)&gt;1,"DUPLICATE",""))</f>
        <v/>
      </c>
    </row>
    <row r="883" spans="1:7">
      <c r="A883" s="9"/>
      <c r="B883" s="12"/>
      <c r="C883" s="10"/>
      <c r="D883" s="10"/>
      <c r="E883" s="10"/>
      <c r="F883" s="9"/>
      <c r="G883" s="11">
        <f>IF(OR(A883="",B883=""),"",IF(COUNTIFS($A$6:$A$2005,A883,$B$6:$B$2005,B883)&gt;1,"DUPLICATE",""))</f>
        <v/>
      </c>
    </row>
    <row r="884" spans="1:7">
      <c r="A884" s="9"/>
      <c r="B884" s="12"/>
      <c r="C884" s="10"/>
      <c r="D884" s="10"/>
      <c r="E884" s="10"/>
      <c r="F884" s="9"/>
      <c r="G884" s="11">
        <f>IF(OR(A884="",B884=""),"",IF(COUNTIFS($A$6:$A$2005,A884,$B$6:$B$2005,B884)&gt;1,"DUPLICATE",""))</f>
        <v/>
      </c>
    </row>
    <row r="885" spans="1:7">
      <c r="A885" s="9"/>
      <c r="B885" s="12"/>
      <c r="C885" s="10"/>
      <c r="D885" s="10"/>
      <c r="E885" s="10"/>
      <c r="F885" s="9"/>
      <c r="G885" s="11">
        <f>IF(OR(A885="",B885=""),"",IF(COUNTIFS($A$6:$A$2005,A885,$B$6:$B$2005,B885)&gt;1,"DUPLICATE",""))</f>
        <v/>
      </c>
    </row>
    <row r="886" spans="1:7">
      <c r="A886" s="9"/>
      <c r="B886" s="12"/>
      <c r="C886" s="10"/>
      <c r="D886" s="10"/>
      <c r="E886" s="10"/>
      <c r="F886" s="9"/>
      <c r="G886" s="11">
        <f>IF(OR(A886="",B886=""),"",IF(COUNTIFS($A$6:$A$2005,A886,$B$6:$B$2005,B886)&gt;1,"DUPLICATE",""))</f>
        <v/>
      </c>
    </row>
    <row r="887" spans="1:7">
      <c r="A887" s="9"/>
      <c r="B887" s="12"/>
      <c r="C887" s="10"/>
      <c r="D887" s="10"/>
      <c r="E887" s="10"/>
      <c r="F887" s="9"/>
      <c r="G887" s="11">
        <f>IF(OR(A887="",B887=""),"",IF(COUNTIFS($A$6:$A$2005,A887,$B$6:$B$2005,B887)&gt;1,"DUPLICATE",""))</f>
        <v/>
      </c>
    </row>
    <row r="888" spans="1:7">
      <c r="A888" s="9"/>
      <c r="B888" s="12"/>
      <c r="C888" s="10"/>
      <c r="D888" s="10"/>
      <c r="E888" s="10"/>
      <c r="F888" s="9"/>
      <c r="G888" s="11">
        <f>IF(OR(A888="",B888=""),"",IF(COUNTIFS($A$6:$A$2005,A888,$B$6:$B$2005,B888)&gt;1,"DUPLICATE",""))</f>
        <v/>
      </c>
    </row>
    <row r="889" spans="1:7">
      <c r="A889" s="9"/>
      <c r="B889" s="12"/>
      <c r="C889" s="10"/>
      <c r="D889" s="10"/>
      <c r="E889" s="10"/>
      <c r="F889" s="9"/>
      <c r="G889" s="11">
        <f>IF(OR(A889="",B889=""),"",IF(COUNTIFS($A$6:$A$2005,A889,$B$6:$B$2005,B889)&gt;1,"DUPLICATE",""))</f>
        <v/>
      </c>
    </row>
    <row r="890" spans="1:7">
      <c r="A890" s="9"/>
      <c r="B890" s="12"/>
      <c r="C890" s="10"/>
      <c r="D890" s="10"/>
      <c r="E890" s="10"/>
      <c r="F890" s="9"/>
      <c r="G890" s="11">
        <f>IF(OR(A890="",B890=""),"",IF(COUNTIFS($A$6:$A$2005,A890,$B$6:$B$2005,B890)&gt;1,"DUPLICATE",""))</f>
        <v/>
      </c>
    </row>
    <row r="891" spans="1:7">
      <c r="A891" s="9"/>
      <c r="B891" s="12"/>
      <c r="C891" s="10"/>
      <c r="D891" s="10"/>
      <c r="E891" s="10"/>
      <c r="F891" s="9"/>
      <c r="G891" s="11">
        <f>IF(OR(A891="",B891=""),"",IF(COUNTIFS($A$6:$A$2005,A891,$B$6:$B$2005,B891)&gt;1,"DUPLICATE",""))</f>
        <v/>
      </c>
    </row>
    <row r="892" spans="1:7">
      <c r="A892" s="9"/>
      <c r="B892" s="12"/>
      <c r="C892" s="10"/>
      <c r="D892" s="10"/>
      <c r="E892" s="10"/>
      <c r="F892" s="9"/>
      <c r="G892" s="11">
        <f>IF(OR(A892="",B892=""),"",IF(COUNTIFS($A$6:$A$2005,A892,$B$6:$B$2005,B892)&gt;1,"DUPLICATE",""))</f>
        <v/>
      </c>
    </row>
    <row r="893" spans="1:7">
      <c r="A893" s="9"/>
      <c r="B893" s="12"/>
      <c r="C893" s="10"/>
      <c r="D893" s="10"/>
      <c r="E893" s="10"/>
      <c r="F893" s="9"/>
      <c r="G893" s="11">
        <f>IF(OR(A893="",B893=""),"",IF(COUNTIFS($A$6:$A$2005,A893,$B$6:$B$2005,B893)&gt;1,"DUPLICATE",""))</f>
        <v/>
      </c>
    </row>
    <row r="894" spans="1:7">
      <c r="A894" s="9"/>
      <c r="B894" s="12"/>
      <c r="C894" s="10"/>
      <c r="D894" s="10"/>
      <c r="E894" s="10"/>
      <c r="F894" s="9"/>
      <c r="G894" s="11">
        <f>IF(OR(A894="",B894=""),"",IF(COUNTIFS($A$6:$A$2005,A894,$B$6:$B$2005,B894)&gt;1,"DUPLICATE",""))</f>
        <v/>
      </c>
    </row>
    <row r="895" spans="1:7">
      <c r="A895" s="9"/>
      <c r="B895" s="12"/>
      <c r="C895" s="10"/>
      <c r="D895" s="10"/>
      <c r="E895" s="10"/>
      <c r="F895" s="9"/>
      <c r="G895" s="11">
        <f>IF(OR(A895="",B895=""),"",IF(COUNTIFS($A$6:$A$2005,A895,$B$6:$B$2005,B895)&gt;1,"DUPLICATE",""))</f>
        <v/>
      </c>
    </row>
    <row r="896" spans="1:7">
      <c r="A896" s="9"/>
      <c r="B896" s="12"/>
      <c r="C896" s="10"/>
      <c r="D896" s="10"/>
      <c r="E896" s="10"/>
      <c r="F896" s="9"/>
      <c r="G896" s="11">
        <f>IF(OR(A896="",B896=""),"",IF(COUNTIFS($A$6:$A$2005,A896,$B$6:$B$2005,B896)&gt;1,"DUPLICATE",""))</f>
        <v/>
      </c>
    </row>
    <row r="897" spans="1:7">
      <c r="A897" s="9"/>
      <c r="B897" s="12"/>
      <c r="C897" s="10"/>
      <c r="D897" s="10"/>
      <c r="E897" s="10"/>
      <c r="F897" s="9"/>
      <c r="G897" s="11">
        <f>IF(OR(A897="",B897=""),"",IF(COUNTIFS($A$6:$A$2005,A897,$B$6:$B$2005,B897)&gt;1,"DUPLICATE",""))</f>
        <v/>
      </c>
    </row>
    <row r="898" spans="1:7">
      <c r="A898" s="9"/>
      <c r="B898" s="12"/>
      <c r="C898" s="10"/>
      <c r="D898" s="10"/>
      <c r="E898" s="10"/>
      <c r="F898" s="9"/>
      <c r="G898" s="11">
        <f>IF(OR(A898="",B898=""),"",IF(COUNTIFS($A$6:$A$2005,A898,$B$6:$B$2005,B898)&gt;1,"DUPLICATE",""))</f>
        <v/>
      </c>
    </row>
    <row r="899" spans="1:7">
      <c r="A899" s="9"/>
      <c r="B899" s="12"/>
      <c r="C899" s="10"/>
      <c r="D899" s="10"/>
      <c r="E899" s="10"/>
      <c r="F899" s="9"/>
      <c r="G899" s="11">
        <f>IF(OR(A899="",B899=""),"",IF(COUNTIFS($A$6:$A$2005,A899,$B$6:$B$2005,B899)&gt;1,"DUPLICATE",""))</f>
        <v/>
      </c>
    </row>
    <row r="900" spans="1:7">
      <c r="A900" s="9"/>
      <c r="B900" s="12"/>
      <c r="C900" s="10"/>
      <c r="D900" s="10"/>
      <c r="E900" s="10"/>
      <c r="F900" s="9"/>
      <c r="G900" s="11">
        <f>IF(OR(A900="",B900=""),"",IF(COUNTIFS($A$6:$A$2005,A900,$B$6:$B$2005,B900)&gt;1,"DUPLICATE",""))</f>
        <v/>
      </c>
    </row>
    <row r="901" spans="1:7">
      <c r="A901" s="9"/>
      <c r="B901" s="12"/>
      <c r="C901" s="10"/>
      <c r="D901" s="10"/>
      <c r="E901" s="10"/>
      <c r="F901" s="9"/>
      <c r="G901" s="11">
        <f>IF(OR(A901="",B901=""),"",IF(COUNTIFS($A$6:$A$2005,A901,$B$6:$B$2005,B901)&gt;1,"DUPLICATE",""))</f>
        <v/>
      </c>
    </row>
    <row r="902" spans="1:7">
      <c r="A902" s="9"/>
      <c r="B902" s="12"/>
      <c r="C902" s="10"/>
      <c r="D902" s="10"/>
      <c r="E902" s="10"/>
      <c r="F902" s="9"/>
      <c r="G902" s="11">
        <f>IF(OR(A902="",B902=""),"",IF(COUNTIFS($A$6:$A$2005,A902,$B$6:$B$2005,B902)&gt;1,"DUPLICATE",""))</f>
        <v/>
      </c>
    </row>
    <row r="903" spans="1:7">
      <c r="A903" s="9"/>
      <c r="B903" s="12"/>
      <c r="C903" s="10"/>
      <c r="D903" s="10"/>
      <c r="E903" s="10"/>
      <c r="F903" s="9"/>
      <c r="G903" s="11">
        <f>IF(OR(A903="",B903=""),"",IF(COUNTIFS($A$6:$A$2005,A903,$B$6:$B$2005,B903)&gt;1,"DUPLICATE",""))</f>
        <v/>
      </c>
    </row>
    <row r="904" spans="1:7">
      <c r="A904" s="9"/>
      <c r="B904" s="12"/>
      <c r="C904" s="10"/>
      <c r="D904" s="10"/>
      <c r="E904" s="10"/>
      <c r="F904" s="9"/>
      <c r="G904" s="11">
        <f>IF(OR(A904="",B904=""),"",IF(COUNTIFS($A$6:$A$2005,A904,$B$6:$B$2005,B904)&gt;1,"DUPLICATE",""))</f>
        <v/>
      </c>
    </row>
    <row r="905" spans="1:7">
      <c r="A905" s="9"/>
      <c r="B905" s="12"/>
      <c r="C905" s="10"/>
      <c r="D905" s="10"/>
      <c r="E905" s="10"/>
      <c r="F905" s="9"/>
      <c r="G905" s="11">
        <f>IF(OR(A905="",B905=""),"",IF(COUNTIFS($A$6:$A$2005,A905,$B$6:$B$2005,B905)&gt;1,"DUPLICATE",""))</f>
        <v/>
      </c>
    </row>
    <row r="906" spans="1:7">
      <c r="A906" s="9"/>
      <c r="B906" s="12"/>
      <c r="C906" s="10"/>
      <c r="D906" s="10"/>
      <c r="E906" s="10"/>
      <c r="F906" s="9"/>
      <c r="G906" s="11">
        <f>IF(OR(A906="",B906=""),"",IF(COUNTIFS($A$6:$A$2005,A906,$B$6:$B$2005,B906)&gt;1,"DUPLICATE",""))</f>
        <v/>
      </c>
    </row>
    <row r="907" spans="1:7">
      <c r="A907" s="9"/>
      <c r="B907" s="12"/>
      <c r="C907" s="10"/>
      <c r="D907" s="10"/>
      <c r="E907" s="10"/>
      <c r="F907" s="9"/>
      <c r="G907" s="11">
        <f>IF(OR(A907="",B907=""),"",IF(COUNTIFS($A$6:$A$2005,A907,$B$6:$B$2005,B907)&gt;1,"DUPLICATE",""))</f>
        <v/>
      </c>
    </row>
    <row r="908" spans="1:7">
      <c r="A908" s="9"/>
      <c r="B908" s="12"/>
      <c r="C908" s="10"/>
      <c r="D908" s="10"/>
      <c r="E908" s="10"/>
      <c r="F908" s="9"/>
      <c r="G908" s="11">
        <f>IF(OR(A908="",B908=""),"",IF(COUNTIFS($A$6:$A$2005,A908,$B$6:$B$2005,B908)&gt;1,"DUPLICATE",""))</f>
        <v/>
      </c>
    </row>
    <row r="909" spans="1:7">
      <c r="A909" s="9"/>
      <c r="B909" s="12"/>
      <c r="C909" s="10"/>
      <c r="D909" s="10"/>
      <c r="E909" s="10"/>
      <c r="F909" s="9"/>
      <c r="G909" s="11">
        <f>IF(OR(A909="",B909=""),"",IF(COUNTIFS($A$6:$A$2005,A909,$B$6:$B$2005,B909)&gt;1,"DUPLICATE",""))</f>
        <v/>
      </c>
    </row>
    <row r="910" spans="1:7">
      <c r="A910" s="9"/>
      <c r="B910" s="12"/>
      <c r="C910" s="10"/>
      <c r="D910" s="10"/>
      <c r="E910" s="10"/>
      <c r="F910" s="9"/>
      <c r="G910" s="11">
        <f>IF(OR(A910="",B910=""),"",IF(COUNTIFS($A$6:$A$2005,A910,$B$6:$B$2005,B910)&gt;1,"DUPLICATE",""))</f>
        <v/>
      </c>
    </row>
    <row r="911" spans="1:7">
      <c r="A911" s="9"/>
      <c r="B911" s="12"/>
      <c r="C911" s="10"/>
      <c r="D911" s="10"/>
      <c r="E911" s="10"/>
      <c r="F911" s="9"/>
      <c r="G911" s="11">
        <f>IF(OR(A911="",B911=""),"",IF(COUNTIFS($A$6:$A$2005,A911,$B$6:$B$2005,B911)&gt;1,"DUPLICATE",""))</f>
        <v/>
      </c>
    </row>
    <row r="912" spans="1:7">
      <c r="A912" s="9"/>
      <c r="B912" s="12"/>
      <c r="C912" s="10"/>
      <c r="D912" s="10"/>
      <c r="E912" s="10"/>
      <c r="F912" s="9"/>
      <c r="G912" s="11">
        <f>IF(OR(A912="",B912=""),"",IF(COUNTIFS($A$6:$A$2005,A912,$B$6:$B$2005,B912)&gt;1,"DUPLICATE",""))</f>
        <v/>
      </c>
    </row>
    <row r="913" spans="1:7">
      <c r="A913" s="9"/>
      <c r="B913" s="12"/>
      <c r="C913" s="10"/>
      <c r="D913" s="10"/>
      <c r="E913" s="10"/>
      <c r="F913" s="9"/>
      <c r="G913" s="11">
        <f>IF(OR(A913="",B913=""),"",IF(COUNTIFS($A$6:$A$2005,A913,$B$6:$B$2005,B913)&gt;1,"DUPLICATE",""))</f>
        <v/>
      </c>
    </row>
    <row r="914" spans="1:7">
      <c r="A914" s="9"/>
      <c r="B914" s="12"/>
      <c r="C914" s="10"/>
      <c r="D914" s="10"/>
      <c r="E914" s="10"/>
      <c r="F914" s="9"/>
      <c r="G914" s="11">
        <f>IF(OR(A914="",B914=""),"",IF(COUNTIFS($A$6:$A$2005,A914,$B$6:$B$2005,B914)&gt;1,"DUPLICATE",""))</f>
        <v/>
      </c>
    </row>
    <row r="915" spans="1:7">
      <c r="A915" s="9"/>
      <c r="B915" s="12"/>
      <c r="C915" s="10"/>
      <c r="D915" s="10"/>
      <c r="E915" s="10"/>
      <c r="F915" s="9"/>
      <c r="G915" s="11">
        <f>IF(OR(A915="",B915=""),"",IF(COUNTIFS($A$6:$A$2005,A915,$B$6:$B$2005,B915)&gt;1,"DUPLICATE",""))</f>
        <v/>
      </c>
    </row>
    <row r="916" spans="1:7">
      <c r="A916" s="9"/>
      <c r="B916" s="12"/>
      <c r="C916" s="10"/>
      <c r="D916" s="10"/>
      <c r="E916" s="10"/>
      <c r="F916" s="9"/>
      <c r="G916" s="11">
        <f>IF(OR(A916="",B916=""),"",IF(COUNTIFS($A$6:$A$2005,A916,$B$6:$B$2005,B916)&gt;1,"DUPLICATE",""))</f>
        <v/>
      </c>
    </row>
    <row r="917" spans="1:7">
      <c r="A917" s="9"/>
      <c r="B917" s="12"/>
      <c r="C917" s="10"/>
      <c r="D917" s="10"/>
      <c r="E917" s="10"/>
      <c r="F917" s="9"/>
      <c r="G917" s="11">
        <f>IF(OR(A917="",B917=""),"",IF(COUNTIFS($A$6:$A$2005,A917,$B$6:$B$2005,B917)&gt;1,"DUPLICATE",""))</f>
        <v/>
      </c>
    </row>
    <row r="918" spans="1:7">
      <c r="A918" s="9"/>
      <c r="B918" s="12"/>
      <c r="C918" s="10"/>
      <c r="D918" s="10"/>
      <c r="E918" s="10"/>
      <c r="F918" s="9"/>
      <c r="G918" s="11">
        <f>IF(OR(A918="",B918=""),"",IF(COUNTIFS($A$6:$A$2005,A918,$B$6:$B$2005,B918)&gt;1,"DUPLICATE",""))</f>
        <v/>
      </c>
    </row>
    <row r="919" spans="1:7">
      <c r="A919" s="9"/>
      <c r="B919" s="12"/>
      <c r="C919" s="10"/>
      <c r="D919" s="10"/>
      <c r="E919" s="10"/>
      <c r="F919" s="9"/>
      <c r="G919" s="11">
        <f>IF(OR(A919="",B919=""),"",IF(COUNTIFS($A$6:$A$2005,A919,$B$6:$B$2005,B919)&gt;1,"DUPLICATE",""))</f>
        <v/>
      </c>
    </row>
    <row r="920" spans="1:7">
      <c r="A920" s="9"/>
      <c r="B920" s="12"/>
      <c r="C920" s="10"/>
      <c r="D920" s="10"/>
      <c r="E920" s="10"/>
      <c r="F920" s="9"/>
      <c r="G920" s="11">
        <f>IF(OR(A920="",B920=""),"",IF(COUNTIFS($A$6:$A$2005,A920,$B$6:$B$2005,B920)&gt;1,"DUPLICATE",""))</f>
        <v/>
      </c>
    </row>
    <row r="921" spans="1:7">
      <c r="A921" s="9"/>
      <c r="B921" s="12"/>
      <c r="C921" s="10"/>
      <c r="D921" s="10"/>
      <c r="E921" s="10"/>
      <c r="F921" s="9"/>
      <c r="G921" s="11">
        <f>IF(OR(A921="",B921=""),"",IF(COUNTIFS($A$6:$A$2005,A921,$B$6:$B$2005,B921)&gt;1,"DUPLICATE",""))</f>
        <v/>
      </c>
    </row>
    <row r="922" spans="1:7">
      <c r="A922" s="9"/>
      <c r="B922" s="12"/>
      <c r="C922" s="10"/>
      <c r="D922" s="10"/>
      <c r="E922" s="10"/>
      <c r="F922" s="9"/>
      <c r="G922" s="11">
        <f>IF(OR(A922="",B922=""),"",IF(COUNTIFS($A$6:$A$2005,A922,$B$6:$B$2005,B922)&gt;1,"DUPLICATE",""))</f>
        <v/>
      </c>
    </row>
    <row r="923" spans="1:7">
      <c r="A923" s="9"/>
      <c r="B923" s="12"/>
      <c r="C923" s="10"/>
      <c r="D923" s="10"/>
      <c r="E923" s="10"/>
      <c r="F923" s="9"/>
      <c r="G923" s="11">
        <f>IF(OR(A923="",B923=""),"",IF(COUNTIFS($A$6:$A$2005,A923,$B$6:$B$2005,B923)&gt;1,"DUPLICATE",""))</f>
        <v/>
      </c>
    </row>
    <row r="924" spans="1:7">
      <c r="A924" s="9"/>
      <c r="B924" s="12"/>
      <c r="C924" s="10"/>
      <c r="D924" s="10"/>
      <c r="E924" s="10"/>
      <c r="F924" s="9"/>
      <c r="G924" s="11">
        <f>IF(OR(A924="",B924=""),"",IF(COUNTIFS($A$6:$A$2005,A924,$B$6:$B$2005,B924)&gt;1,"DUPLICATE",""))</f>
        <v/>
      </c>
    </row>
    <row r="925" spans="1:7">
      <c r="A925" s="9"/>
      <c r="B925" s="12"/>
      <c r="C925" s="10"/>
      <c r="D925" s="10"/>
      <c r="E925" s="10"/>
      <c r="F925" s="9"/>
      <c r="G925" s="11">
        <f>IF(OR(A925="",B925=""),"",IF(COUNTIFS($A$6:$A$2005,A925,$B$6:$B$2005,B925)&gt;1,"DUPLICATE",""))</f>
        <v/>
      </c>
    </row>
    <row r="926" spans="1:7">
      <c r="A926" s="9"/>
      <c r="B926" s="12"/>
      <c r="C926" s="10"/>
      <c r="D926" s="10"/>
      <c r="E926" s="10"/>
      <c r="F926" s="9"/>
      <c r="G926" s="11">
        <f>IF(OR(A926="",B926=""),"",IF(COUNTIFS($A$6:$A$2005,A926,$B$6:$B$2005,B926)&gt;1,"DUPLICATE",""))</f>
        <v/>
      </c>
    </row>
    <row r="927" spans="1:7">
      <c r="A927" s="9"/>
      <c r="B927" s="12"/>
      <c r="C927" s="10"/>
      <c r="D927" s="10"/>
      <c r="E927" s="10"/>
      <c r="F927" s="9"/>
      <c r="G927" s="11">
        <f>IF(OR(A927="",B927=""),"",IF(COUNTIFS($A$6:$A$2005,A927,$B$6:$B$2005,B927)&gt;1,"DUPLICATE",""))</f>
        <v/>
      </c>
    </row>
    <row r="928" spans="1:7">
      <c r="A928" s="9"/>
      <c r="B928" s="12"/>
      <c r="C928" s="10"/>
      <c r="D928" s="10"/>
      <c r="E928" s="10"/>
      <c r="F928" s="9"/>
      <c r="G928" s="11">
        <f>IF(OR(A928="",B928=""),"",IF(COUNTIFS($A$6:$A$2005,A928,$B$6:$B$2005,B928)&gt;1,"DUPLICATE",""))</f>
        <v/>
      </c>
    </row>
    <row r="929" spans="1:7">
      <c r="A929" s="9"/>
      <c r="B929" s="12"/>
      <c r="C929" s="10"/>
      <c r="D929" s="10"/>
      <c r="E929" s="10"/>
      <c r="F929" s="9"/>
      <c r="G929" s="11">
        <f>IF(OR(A929="",B929=""),"",IF(COUNTIFS($A$6:$A$2005,A929,$B$6:$B$2005,B929)&gt;1,"DUPLICATE",""))</f>
        <v/>
      </c>
    </row>
    <row r="930" spans="1:7">
      <c r="A930" s="9"/>
      <c r="B930" s="12"/>
      <c r="C930" s="10"/>
      <c r="D930" s="10"/>
      <c r="E930" s="10"/>
      <c r="F930" s="9"/>
      <c r="G930" s="11">
        <f>IF(OR(A930="",B930=""),"",IF(COUNTIFS($A$6:$A$2005,A930,$B$6:$B$2005,B930)&gt;1,"DUPLICATE",""))</f>
        <v/>
      </c>
    </row>
    <row r="931" spans="1:7">
      <c r="A931" s="9"/>
      <c r="B931" s="12"/>
      <c r="C931" s="10"/>
      <c r="D931" s="10"/>
      <c r="E931" s="10"/>
      <c r="F931" s="9"/>
      <c r="G931" s="11">
        <f>IF(OR(A931="",B931=""),"",IF(COUNTIFS($A$6:$A$2005,A931,$B$6:$B$2005,B931)&gt;1,"DUPLICATE",""))</f>
        <v/>
      </c>
    </row>
    <row r="932" spans="1:7">
      <c r="A932" s="9"/>
      <c r="B932" s="12"/>
      <c r="C932" s="10"/>
      <c r="D932" s="10"/>
      <c r="E932" s="10"/>
      <c r="F932" s="9"/>
      <c r="G932" s="11">
        <f>IF(OR(A932="",B932=""),"",IF(COUNTIFS($A$6:$A$2005,A932,$B$6:$B$2005,B932)&gt;1,"DUPLICATE",""))</f>
        <v/>
      </c>
    </row>
    <row r="933" spans="1:7">
      <c r="A933" s="9"/>
      <c r="B933" s="12"/>
      <c r="C933" s="10"/>
      <c r="D933" s="10"/>
      <c r="E933" s="10"/>
      <c r="F933" s="9"/>
      <c r="G933" s="11">
        <f>IF(OR(A933="",B933=""),"",IF(COUNTIFS($A$6:$A$2005,A933,$B$6:$B$2005,B933)&gt;1,"DUPLICATE",""))</f>
        <v/>
      </c>
    </row>
    <row r="934" spans="1:7">
      <c r="A934" s="9"/>
      <c r="B934" s="12"/>
      <c r="C934" s="10"/>
      <c r="D934" s="10"/>
      <c r="E934" s="10"/>
      <c r="F934" s="9"/>
      <c r="G934" s="11">
        <f>IF(OR(A934="",B934=""),"",IF(COUNTIFS($A$6:$A$2005,A934,$B$6:$B$2005,B934)&gt;1,"DUPLICATE",""))</f>
        <v/>
      </c>
    </row>
    <row r="935" spans="1:7">
      <c r="A935" s="9"/>
      <c r="B935" s="12"/>
      <c r="C935" s="10"/>
      <c r="D935" s="10"/>
      <c r="E935" s="10"/>
      <c r="F935" s="9"/>
      <c r="G935" s="11">
        <f>IF(OR(A935="",B935=""),"",IF(COUNTIFS($A$6:$A$2005,A935,$B$6:$B$2005,B935)&gt;1,"DUPLICATE",""))</f>
        <v/>
      </c>
    </row>
    <row r="936" spans="1:7">
      <c r="A936" s="9"/>
      <c r="B936" s="12"/>
      <c r="C936" s="10"/>
      <c r="D936" s="10"/>
      <c r="E936" s="10"/>
      <c r="F936" s="9"/>
      <c r="G936" s="11">
        <f>IF(OR(A936="",B936=""),"",IF(COUNTIFS($A$6:$A$2005,A936,$B$6:$B$2005,B936)&gt;1,"DUPLICATE",""))</f>
        <v/>
      </c>
    </row>
    <row r="937" spans="1:7">
      <c r="A937" s="9"/>
      <c r="B937" s="12"/>
      <c r="C937" s="10"/>
      <c r="D937" s="10"/>
      <c r="E937" s="10"/>
      <c r="F937" s="9"/>
      <c r="G937" s="11">
        <f>IF(OR(A937="",B937=""),"",IF(COUNTIFS($A$6:$A$2005,A937,$B$6:$B$2005,B937)&gt;1,"DUPLICATE",""))</f>
        <v/>
      </c>
    </row>
    <row r="938" spans="1:7">
      <c r="A938" s="9"/>
      <c r="B938" s="12"/>
      <c r="C938" s="10"/>
      <c r="D938" s="10"/>
      <c r="E938" s="10"/>
      <c r="F938" s="9"/>
      <c r="G938" s="11">
        <f>IF(OR(A938="",B938=""),"",IF(COUNTIFS($A$6:$A$2005,A938,$B$6:$B$2005,B938)&gt;1,"DUPLICATE",""))</f>
        <v/>
      </c>
    </row>
    <row r="939" spans="1:7">
      <c r="A939" s="9"/>
      <c r="B939" s="12"/>
      <c r="C939" s="10"/>
      <c r="D939" s="10"/>
      <c r="E939" s="10"/>
      <c r="F939" s="9"/>
      <c r="G939" s="11">
        <f>IF(OR(A939="",B939=""),"",IF(COUNTIFS($A$6:$A$2005,A939,$B$6:$B$2005,B939)&gt;1,"DUPLICATE",""))</f>
        <v/>
      </c>
    </row>
    <row r="940" spans="1:7">
      <c r="A940" s="9"/>
      <c r="B940" s="12"/>
      <c r="C940" s="10"/>
      <c r="D940" s="10"/>
      <c r="E940" s="10"/>
      <c r="F940" s="9"/>
      <c r="G940" s="11">
        <f>IF(OR(A940="",B940=""),"",IF(COUNTIFS($A$6:$A$2005,A940,$B$6:$B$2005,B940)&gt;1,"DUPLICATE",""))</f>
        <v/>
      </c>
    </row>
    <row r="941" spans="1:7">
      <c r="A941" s="9"/>
      <c r="B941" s="12"/>
      <c r="C941" s="10"/>
      <c r="D941" s="10"/>
      <c r="E941" s="10"/>
      <c r="F941" s="9"/>
      <c r="G941" s="11">
        <f>IF(OR(A941="",B941=""),"",IF(COUNTIFS($A$6:$A$2005,A941,$B$6:$B$2005,B941)&gt;1,"DUPLICATE",""))</f>
        <v/>
      </c>
    </row>
    <row r="942" spans="1:7">
      <c r="A942" s="9"/>
      <c r="B942" s="12"/>
      <c r="C942" s="10"/>
      <c r="D942" s="10"/>
      <c r="E942" s="10"/>
      <c r="F942" s="9"/>
      <c r="G942" s="11">
        <f>IF(OR(A942="",B942=""),"",IF(COUNTIFS($A$6:$A$2005,A942,$B$6:$B$2005,B942)&gt;1,"DUPLICATE",""))</f>
        <v/>
      </c>
    </row>
    <row r="943" spans="1:7">
      <c r="A943" s="9"/>
      <c r="B943" s="12"/>
      <c r="C943" s="10"/>
      <c r="D943" s="10"/>
      <c r="E943" s="10"/>
      <c r="F943" s="9"/>
      <c r="G943" s="11">
        <f>IF(OR(A943="",B943=""),"",IF(COUNTIFS($A$6:$A$2005,A943,$B$6:$B$2005,B943)&gt;1,"DUPLICATE",""))</f>
        <v/>
      </c>
    </row>
    <row r="944" spans="1:7">
      <c r="A944" s="9"/>
      <c r="B944" s="12"/>
      <c r="C944" s="10"/>
      <c r="D944" s="10"/>
      <c r="E944" s="10"/>
      <c r="F944" s="9"/>
      <c r="G944" s="11">
        <f>IF(OR(A944="",B944=""),"",IF(COUNTIFS($A$6:$A$2005,A944,$B$6:$B$2005,B944)&gt;1,"DUPLICATE",""))</f>
        <v/>
      </c>
    </row>
    <row r="945" spans="1:7">
      <c r="A945" s="9"/>
      <c r="B945" s="12"/>
      <c r="C945" s="10"/>
      <c r="D945" s="10"/>
      <c r="E945" s="10"/>
      <c r="F945" s="9"/>
      <c r="G945" s="11">
        <f>IF(OR(A945="",B945=""),"",IF(COUNTIFS($A$6:$A$2005,A945,$B$6:$B$2005,B945)&gt;1,"DUPLICATE",""))</f>
        <v/>
      </c>
    </row>
    <row r="946" spans="1:7">
      <c r="A946" s="9"/>
      <c r="B946" s="12"/>
      <c r="C946" s="10"/>
      <c r="D946" s="10"/>
      <c r="E946" s="10"/>
      <c r="F946" s="9"/>
      <c r="G946" s="11">
        <f>IF(OR(A946="",B946=""),"",IF(COUNTIFS($A$6:$A$2005,A946,$B$6:$B$2005,B946)&gt;1,"DUPLICATE",""))</f>
        <v/>
      </c>
    </row>
    <row r="947" spans="1:7">
      <c r="A947" s="9"/>
      <c r="B947" s="12"/>
      <c r="C947" s="10"/>
      <c r="D947" s="10"/>
      <c r="E947" s="10"/>
      <c r="F947" s="9"/>
      <c r="G947" s="11">
        <f>IF(OR(A947="",B947=""),"",IF(COUNTIFS($A$6:$A$2005,A947,$B$6:$B$2005,B947)&gt;1,"DUPLICATE",""))</f>
        <v/>
      </c>
    </row>
    <row r="948" spans="1:7">
      <c r="A948" s="9"/>
      <c r="B948" s="12"/>
      <c r="C948" s="10"/>
      <c r="D948" s="10"/>
      <c r="E948" s="10"/>
      <c r="F948" s="9"/>
      <c r="G948" s="11">
        <f>IF(OR(A948="",B948=""),"",IF(COUNTIFS($A$6:$A$2005,A948,$B$6:$B$2005,B948)&gt;1,"DUPLICATE",""))</f>
        <v/>
      </c>
    </row>
    <row r="949" spans="1:7">
      <c r="A949" s="9"/>
      <c r="B949" s="12"/>
      <c r="C949" s="10"/>
      <c r="D949" s="10"/>
      <c r="E949" s="10"/>
      <c r="F949" s="9"/>
      <c r="G949" s="11">
        <f>IF(OR(A949="",B949=""),"",IF(COUNTIFS($A$6:$A$2005,A949,$B$6:$B$2005,B949)&gt;1,"DUPLICATE",""))</f>
        <v/>
      </c>
    </row>
    <row r="950" spans="1:7">
      <c r="A950" s="9"/>
      <c r="B950" s="12"/>
      <c r="C950" s="10"/>
      <c r="D950" s="10"/>
      <c r="E950" s="10"/>
      <c r="F950" s="9"/>
      <c r="G950" s="11">
        <f>IF(OR(A950="",B950=""),"",IF(COUNTIFS($A$6:$A$2005,A950,$B$6:$B$2005,B950)&gt;1,"DUPLICATE",""))</f>
        <v/>
      </c>
    </row>
    <row r="951" spans="1:7">
      <c r="A951" s="9"/>
      <c r="B951" s="12"/>
      <c r="C951" s="10"/>
      <c r="D951" s="10"/>
      <c r="E951" s="10"/>
      <c r="F951" s="9"/>
      <c r="G951" s="11">
        <f>IF(OR(A951="",B951=""),"",IF(COUNTIFS($A$6:$A$2005,A951,$B$6:$B$2005,B951)&gt;1,"DUPLICATE",""))</f>
        <v/>
      </c>
    </row>
    <row r="952" spans="1:7">
      <c r="A952" s="9"/>
      <c r="B952" s="12"/>
      <c r="C952" s="10"/>
      <c r="D952" s="10"/>
      <c r="E952" s="10"/>
      <c r="F952" s="9"/>
      <c r="G952" s="11">
        <f>IF(OR(A952="",B952=""),"",IF(COUNTIFS($A$6:$A$2005,A952,$B$6:$B$2005,B952)&gt;1,"DUPLICATE",""))</f>
        <v/>
      </c>
    </row>
    <row r="953" spans="1:7">
      <c r="A953" s="9"/>
      <c r="B953" s="12"/>
      <c r="C953" s="10"/>
      <c r="D953" s="10"/>
      <c r="E953" s="10"/>
      <c r="F953" s="9"/>
      <c r="G953" s="11">
        <f>IF(OR(A953="",B953=""),"",IF(COUNTIFS($A$6:$A$2005,A953,$B$6:$B$2005,B953)&gt;1,"DUPLICATE",""))</f>
        <v/>
      </c>
    </row>
    <row r="954" spans="1:7">
      <c r="A954" s="9"/>
      <c r="B954" s="12"/>
      <c r="C954" s="10"/>
      <c r="D954" s="10"/>
      <c r="E954" s="10"/>
      <c r="F954" s="9"/>
      <c r="G954" s="11">
        <f>IF(OR(A954="",B954=""),"",IF(COUNTIFS($A$6:$A$2005,A954,$B$6:$B$2005,B954)&gt;1,"DUPLICATE",""))</f>
        <v/>
      </c>
    </row>
    <row r="955" spans="1:7">
      <c r="A955" s="9"/>
      <c r="B955" s="12"/>
      <c r="C955" s="10"/>
      <c r="D955" s="10"/>
      <c r="E955" s="10"/>
      <c r="F955" s="9"/>
      <c r="G955" s="11">
        <f>IF(OR(A955="",B955=""),"",IF(COUNTIFS($A$6:$A$2005,A955,$B$6:$B$2005,B955)&gt;1,"DUPLICATE",""))</f>
        <v/>
      </c>
    </row>
    <row r="956" spans="1:7">
      <c r="A956" s="9"/>
      <c r="B956" s="12"/>
      <c r="C956" s="10"/>
      <c r="D956" s="10"/>
      <c r="E956" s="10"/>
      <c r="F956" s="9"/>
      <c r="G956" s="11">
        <f>IF(OR(A956="",B956=""),"",IF(COUNTIFS($A$6:$A$2005,A956,$B$6:$B$2005,B956)&gt;1,"DUPLICATE",""))</f>
        <v/>
      </c>
    </row>
    <row r="957" spans="1:7">
      <c r="A957" s="9"/>
      <c r="B957" s="12"/>
      <c r="C957" s="10"/>
      <c r="D957" s="10"/>
      <c r="E957" s="10"/>
      <c r="F957" s="9"/>
      <c r="G957" s="11">
        <f>IF(OR(A957="",B957=""),"",IF(COUNTIFS($A$6:$A$2005,A957,$B$6:$B$2005,B957)&gt;1,"DUPLICATE",""))</f>
        <v/>
      </c>
    </row>
    <row r="958" spans="1:7">
      <c r="A958" s="9"/>
      <c r="B958" s="12"/>
      <c r="C958" s="10"/>
      <c r="D958" s="10"/>
      <c r="E958" s="10"/>
      <c r="F958" s="9"/>
      <c r="G958" s="11">
        <f>IF(OR(A958="",B958=""),"",IF(COUNTIFS($A$6:$A$2005,A958,$B$6:$B$2005,B958)&gt;1,"DUPLICATE",""))</f>
        <v/>
      </c>
    </row>
    <row r="959" spans="1:7">
      <c r="A959" s="9"/>
      <c r="B959" s="12"/>
      <c r="C959" s="10"/>
      <c r="D959" s="10"/>
      <c r="E959" s="10"/>
      <c r="F959" s="9"/>
      <c r="G959" s="11">
        <f>IF(OR(A959="",B959=""),"",IF(COUNTIFS($A$6:$A$2005,A959,$B$6:$B$2005,B959)&gt;1,"DUPLICATE",""))</f>
        <v/>
      </c>
    </row>
    <row r="960" spans="1:7">
      <c r="A960" s="9"/>
      <c r="B960" s="12"/>
      <c r="C960" s="10"/>
      <c r="D960" s="10"/>
      <c r="E960" s="10"/>
      <c r="F960" s="9"/>
      <c r="G960" s="11">
        <f>IF(OR(A960="",B960=""),"",IF(COUNTIFS($A$6:$A$2005,A960,$B$6:$B$2005,B960)&gt;1,"DUPLICATE",""))</f>
        <v/>
      </c>
    </row>
    <row r="961" spans="1:7">
      <c r="A961" s="9"/>
      <c r="B961" s="12"/>
      <c r="C961" s="10"/>
      <c r="D961" s="10"/>
      <c r="E961" s="10"/>
      <c r="F961" s="9"/>
      <c r="G961" s="11">
        <f>IF(OR(A961="",B961=""),"",IF(COUNTIFS($A$6:$A$2005,A961,$B$6:$B$2005,B961)&gt;1,"DUPLICATE",""))</f>
        <v/>
      </c>
    </row>
    <row r="962" spans="1:7">
      <c r="A962" s="9"/>
      <c r="B962" s="12"/>
      <c r="C962" s="10"/>
      <c r="D962" s="10"/>
      <c r="E962" s="10"/>
      <c r="F962" s="9"/>
      <c r="G962" s="11">
        <f>IF(OR(A962="",B962=""),"",IF(COUNTIFS($A$6:$A$2005,A962,$B$6:$B$2005,B962)&gt;1,"DUPLICATE",""))</f>
        <v/>
      </c>
    </row>
    <row r="963" spans="1:7">
      <c r="A963" s="9"/>
      <c r="B963" s="12"/>
      <c r="C963" s="10"/>
      <c r="D963" s="10"/>
      <c r="E963" s="10"/>
      <c r="F963" s="9"/>
      <c r="G963" s="11">
        <f>IF(OR(A963="",B963=""),"",IF(COUNTIFS($A$6:$A$2005,A963,$B$6:$B$2005,B963)&gt;1,"DUPLICATE",""))</f>
        <v/>
      </c>
    </row>
    <row r="964" spans="1:7">
      <c r="A964" s="9"/>
      <c r="B964" s="12"/>
      <c r="C964" s="10"/>
      <c r="D964" s="10"/>
      <c r="E964" s="10"/>
      <c r="F964" s="9"/>
      <c r="G964" s="11">
        <f>IF(OR(A964="",B964=""),"",IF(COUNTIFS($A$6:$A$2005,A964,$B$6:$B$2005,B964)&gt;1,"DUPLICATE",""))</f>
        <v/>
      </c>
    </row>
    <row r="965" spans="1:7">
      <c r="A965" s="9"/>
      <c r="B965" s="12"/>
      <c r="C965" s="10"/>
      <c r="D965" s="10"/>
      <c r="E965" s="10"/>
      <c r="F965" s="9"/>
      <c r="G965" s="11">
        <f>IF(OR(A965="",B965=""),"",IF(COUNTIFS($A$6:$A$2005,A965,$B$6:$B$2005,B965)&gt;1,"DUPLICATE",""))</f>
        <v/>
      </c>
    </row>
    <row r="966" spans="1:7">
      <c r="A966" s="9"/>
      <c r="B966" s="12"/>
      <c r="C966" s="10"/>
      <c r="D966" s="10"/>
      <c r="E966" s="10"/>
      <c r="F966" s="9"/>
      <c r="G966" s="11">
        <f>IF(OR(A966="",B966=""),"",IF(COUNTIFS($A$6:$A$2005,A966,$B$6:$B$2005,B966)&gt;1,"DUPLICATE",""))</f>
        <v/>
      </c>
    </row>
    <row r="967" spans="1:7">
      <c r="A967" s="9"/>
      <c r="B967" s="12"/>
      <c r="C967" s="10"/>
      <c r="D967" s="10"/>
      <c r="E967" s="10"/>
      <c r="F967" s="9"/>
      <c r="G967" s="11">
        <f>IF(OR(A967="",B967=""),"",IF(COUNTIFS($A$6:$A$2005,A967,$B$6:$B$2005,B967)&gt;1,"DUPLICATE",""))</f>
        <v/>
      </c>
    </row>
    <row r="968" spans="1:7">
      <c r="A968" s="9"/>
      <c r="B968" s="12"/>
      <c r="C968" s="10"/>
      <c r="D968" s="10"/>
      <c r="E968" s="10"/>
      <c r="F968" s="9"/>
      <c r="G968" s="11">
        <f>IF(OR(A968="",B968=""),"",IF(COUNTIFS($A$6:$A$2005,A968,$B$6:$B$2005,B968)&gt;1,"DUPLICATE",""))</f>
        <v/>
      </c>
    </row>
    <row r="969" spans="1:7">
      <c r="A969" s="9"/>
      <c r="B969" s="12"/>
      <c r="C969" s="10"/>
      <c r="D969" s="10"/>
      <c r="E969" s="10"/>
      <c r="F969" s="9"/>
      <c r="G969" s="11">
        <f>IF(OR(A969="",B969=""),"",IF(COUNTIFS($A$6:$A$2005,A969,$B$6:$B$2005,B969)&gt;1,"DUPLICATE",""))</f>
        <v/>
      </c>
    </row>
    <row r="970" spans="1:7">
      <c r="A970" s="9"/>
      <c r="B970" s="12"/>
      <c r="C970" s="10"/>
      <c r="D970" s="10"/>
      <c r="E970" s="10"/>
      <c r="F970" s="9"/>
      <c r="G970" s="11">
        <f>IF(OR(A970="",B970=""),"",IF(COUNTIFS($A$6:$A$2005,A970,$B$6:$B$2005,B970)&gt;1,"DUPLICATE",""))</f>
        <v/>
      </c>
    </row>
    <row r="971" spans="1:7">
      <c r="A971" s="9"/>
      <c r="B971" s="12"/>
      <c r="C971" s="10"/>
      <c r="D971" s="10"/>
      <c r="E971" s="10"/>
      <c r="F971" s="9"/>
      <c r="G971" s="11">
        <f>IF(OR(A971="",B971=""),"",IF(COUNTIFS($A$6:$A$2005,A971,$B$6:$B$2005,B971)&gt;1,"DUPLICATE",""))</f>
        <v/>
      </c>
    </row>
    <row r="972" spans="1:7">
      <c r="A972" s="9"/>
      <c r="B972" s="12"/>
      <c r="C972" s="10"/>
      <c r="D972" s="10"/>
      <c r="E972" s="10"/>
      <c r="F972" s="9"/>
      <c r="G972" s="11">
        <f>IF(OR(A972="",B972=""),"",IF(COUNTIFS($A$6:$A$2005,A972,$B$6:$B$2005,B972)&gt;1,"DUPLICATE",""))</f>
        <v/>
      </c>
    </row>
    <row r="973" spans="1:7">
      <c r="A973" s="9"/>
      <c r="B973" s="12"/>
      <c r="C973" s="10"/>
      <c r="D973" s="10"/>
      <c r="E973" s="10"/>
      <c r="F973" s="9"/>
      <c r="G973" s="11">
        <f>IF(OR(A973="",B973=""),"",IF(COUNTIFS($A$6:$A$2005,A973,$B$6:$B$2005,B973)&gt;1,"DUPLICATE",""))</f>
        <v/>
      </c>
    </row>
    <row r="974" spans="1:7">
      <c r="A974" s="9"/>
      <c r="B974" s="12"/>
      <c r="C974" s="10"/>
      <c r="D974" s="10"/>
      <c r="E974" s="10"/>
      <c r="F974" s="9"/>
      <c r="G974" s="11">
        <f>IF(OR(A974="",B974=""),"",IF(COUNTIFS($A$6:$A$2005,A974,$B$6:$B$2005,B974)&gt;1,"DUPLICATE",""))</f>
        <v/>
      </c>
    </row>
    <row r="975" spans="1:7">
      <c r="A975" s="9"/>
      <c r="B975" s="12"/>
      <c r="C975" s="10"/>
      <c r="D975" s="10"/>
      <c r="E975" s="10"/>
      <c r="F975" s="9"/>
      <c r="G975" s="11">
        <f>IF(OR(A975="",B975=""),"",IF(COUNTIFS($A$6:$A$2005,A975,$B$6:$B$2005,B975)&gt;1,"DUPLICATE",""))</f>
        <v/>
      </c>
    </row>
    <row r="976" spans="1:7">
      <c r="A976" s="9"/>
      <c r="B976" s="12"/>
      <c r="C976" s="10"/>
      <c r="D976" s="10"/>
      <c r="E976" s="10"/>
      <c r="F976" s="9"/>
      <c r="G976" s="11">
        <f>IF(OR(A976="",B976=""),"",IF(COUNTIFS($A$6:$A$2005,A976,$B$6:$B$2005,B976)&gt;1,"DUPLICATE",""))</f>
        <v/>
      </c>
    </row>
    <row r="977" spans="1:7">
      <c r="A977" s="9"/>
      <c r="B977" s="12"/>
      <c r="C977" s="10"/>
      <c r="D977" s="10"/>
      <c r="E977" s="10"/>
      <c r="F977" s="9"/>
      <c r="G977" s="11">
        <f>IF(OR(A977="",B977=""),"",IF(COUNTIFS($A$6:$A$2005,A977,$B$6:$B$2005,B977)&gt;1,"DUPLICATE",""))</f>
        <v/>
      </c>
    </row>
    <row r="978" spans="1:7">
      <c r="A978" s="9"/>
      <c r="B978" s="12"/>
      <c r="C978" s="10"/>
      <c r="D978" s="10"/>
      <c r="E978" s="10"/>
      <c r="F978" s="9"/>
      <c r="G978" s="11">
        <f>IF(OR(A978="",B978=""),"",IF(COUNTIFS($A$6:$A$2005,A978,$B$6:$B$2005,B978)&gt;1,"DUPLICATE",""))</f>
        <v/>
      </c>
    </row>
    <row r="979" spans="1:7">
      <c r="A979" s="9"/>
      <c r="B979" s="12"/>
      <c r="C979" s="10"/>
      <c r="D979" s="10"/>
      <c r="E979" s="10"/>
      <c r="F979" s="9"/>
      <c r="G979" s="11">
        <f>IF(OR(A979="",B979=""),"",IF(COUNTIFS($A$6:$A$2005,A979,$B$6:$B$2005,B979)&gt;1,"DUPLICATE",""))</f>
        <v/>
      </c>
    </row>
    <row r="980" spans="1:7">
      <c r="A980" s="9"/>
      <c r="B980" s="12"/>
      <c r="C980" s="10"/>
      <c r="D980" s="10"/>
      <c r="E980" s="10"/>
      <c r="F980" s="9"/>
      <c r="G980" s="11">
        <f>IF(OR(A980="",B980=""),"",IF(COUNTIFS($A$6:$A$2005,A980,$B$6:$B$2005,B980)&gt;1,"DUPLICATE",""))</f>
        <v/>
      </c>
    </row>
    <row r="981" spans="1:7">
      <c r="A981" s="9"/>
      <c r="B981" s="12"/>
      <c r="C981" s="10"/>
      <c r="D981" s="10"/>
      <c r="E981" s="10"/>
      <c r="F981" s="9"/>
      <c r="G981" s="11">
        <f>IF(OR(A981="",B981=""),"",IF(COUNTIFS($A$6:$A$2005,A981,$B$6:$B$2005,B981)&gt;1,"DUPLICATE",""))</f>
        <v/>
      </c>
    </row>
    <row r="982" spans="1:7">
      <c r="A982" s="9"/>
      <c r="B982" s="12"/>
      <c r="C982" s="10"/>
      <c r="D982" s="10"/>
      <c r="E982" s="10"/>
      <c r="F982" s="9"/>
      <c r="G982" s="11">
        <f>IF(OR(A982="",B982=""),"",IF(COUNTIFS($A$6:$A$2005,A982,$B$6:$B$2005,B982)&gt;1,"DUPLICATE",""))</f>
        <v/>
      </c>
    </row>
    <row r="983" spans="1:7">
      <c r="A983" s="9"/>
      <c r="B983" s="12"/>
      <c r="C983" s="10"/>
      <c r="D983" s="10"/>
      <c r="E983" s="10"/>
      <c r="F983" s="9"/>
      <c r="G983" s="11">
        <f>IF(OR(A983="",B983=""),"",IF(COUNTIFS($A$6:$A$2005,A983,$B$6:$B$2005,B983)&gt;1,"DUPLICATE",""))</f>
        <v/>
      </c>
    </row>
    <row r="984" spans="1:7">
      <c r="A984" s="9"/>
      <c r="B984" s="12"/>
      <c r="C984" s="10"/>
      <c r="D984" s="10"/>
      <c r="E984" s="10"/>
      <c r="F984" s="9"/>
      <c r="G984" s="11">
        <f>IF(OR(A984="",B984=""),"",IF(COUNTIFS($A$6:$A$2005,A984,$B$6:$B$2005,B984)&gt;1,"DUPLICATE",""))</f>
        <v/>
      </c>
    </row>
    <row r="985" spans="1:7">
      <c r="A985" s="9"/>
      <c r="B985" s="12"/>
      <c r="C985" s="10"/>
      <c r="D985" s="10"/>
      <c r="E985" s="10"/>
      <c r="F985" s="9"/>
      <c r="G985" s="11">
        <f>IF(OR(A985="",B985=""),"",IF(COUNTIFS($A$6:$A$2005,A985,$B$6:$B$2005,B985)&gt;1,"DUPLICATE",""))</f>
        <v/>
      </c>
    </row>
    <row r="986" spans="1:7">
      <c r="A986" s="9"/>
      <c r="B986" s="12"/>
      <c r="C986" s="10"/>
      <c r="D986" s="10"/>
      <c r="E986" s="10"/>
      <c r="F986" s="9"/>
      <c r="G986" s="11">
        <f>IF(OR(A986="",B986=""),"",IF(COUNTIFS($A$6:$A$2005,A986,$B$6:$B$2005,B986)&gt;1,"DUPLICATE",""))</f>
        <v/>
      </c>
    </row>
    <row r="987" spans="1:7">
      <c r="A987" s="9"/>
      <c r="B987" s="12"/>
      <c r="C987" s="10"/>
      <c r="D987" s="10"/>
      <c r="E987" s="10"/>
      <c r="F987" s="9"/>
      <c r="G987" s="11">
        <f>IF(OR(A987="",B987=""),"",IF(COUNTIFS($A$6:$A$2005,A987,$B$6:$B$2005,B987)&gt;1,"DUPLICATE",""))</f>
        <v/>
      </c>
    </row>
    <row r="988" spans="1:7">
      <c r="A988" s="9"/>
      <c r="B988" s="12"/>
      <c r="C988" s="10"/>
      <c r="D988" s="10"/>
      <c r="E988" s="10"/>
      <c r="F988" s="9"/>
      <c r="G988" s="11">
        <f>IF(OR(A988="",B988=""),"",IF(COUNTIFS($A$6:$A$2005,A988,$B$6:$B$2005,B988)&gt;1,"DUPLICATE",""))</f>
        <v/>
      </c>
    </row>
    <row r="989" spans="1:7">
      <c r="A989" s="9"/>
      <c r="B989" s="12"/>
      <c r="C989" s="10"/>
      <c r="D989" s="10"/>
      <c r="E989" s="10"/>
      <c r="F989" s="9"/>
      <c r="G989" s="11">
        <f>IF(OR(A989="",B989=""),"",IF(COUNTIFS($A$6:$A$2005,A989,$B$6:$B$2005,B989)&gt;1,"DUPLICATE",""))</f>
        <v/>
      </c>
    </row>
    <row r="990" spans="1:7">
      <c r="A990" s="9"/>
      <c r="B990" s="12"/>
      <c r="C990" s="10"/>
      <c r="D990" s="10"/>
      <c r="E990" s="10"/>
      <c r="F990" s="9"/>
      <c r="G990" s="11">
        <f>IF(OR(A990="",B990=""),"",IF(COUNTIFS($A$6:$A$2005,A990,$B$6:$B$2005,B990)&gt;1,"DUPLICATE",""))</f>
        <v/>
      </c>
    </row>
    <row r="991" spans="1:7">
      <c r="A991" s="9"/>
      <c r="B991" s="12"/>
      <c r="C991" s="10"/>
      <c r="D991" s="10"/>
      <c r="E991" s="10"/>
      <c r="F991" s="9"/>
      <c r="G991" s="11">
        <f>IF(OR(A991="",B991=""),"",IF(COUNTIFS($A$6:$A$2005,A991,$B$6:$B$2005,B991)&gt;1,"DUPLICATE",""))</f>
        <v/>
      </c>
    </row>
    <row r="992" spans="1:7">
      <c r="A992" s="9"/>
      <c r="B992" s="12"/>
      <c r="C992" s="10"/>
      <c r="D992" s="10"/>
      <c r="E992" s="10"/>
      <c r="F992" s="9"/>
      <c r="G992" s="11">
        <f>IF(OR(A992="",B992=""),"",IF(COUNTIFS($A$6:$A$2005,A992,$B$6:$B$2005,B992)&gt;1,"DUPLICATE",""))</f>
        <v/>
      </c>
    </row>
    <row r="993" spans="1:7">
      <c r="A993" s="9"/>
      <c r="B993" s="12"/>
      <c r="C993" s="10"/>
      <c r="D993" s="10"/>
      <c r="E993" s="10"/>
      <c r="F993" s="9"/>
      <c r="G993" s="11">
        <f>IF(OR(A993="",B993=""),"",IF(COUNTIFS($A$6:$A$2005,A993,$B$6:$B$2005,B993)&gt;1,"DUPLICATE",""))</f>
        <v/>
      </c>
    </row>
    <row r="994" spans="1:7">
      <c r="A994" s="9"/>
      <c r="B994" s="12"/>
      <c r="C994" s="10"/>
      <c r="D994" s="10"/>
      <c r="E994" s="10"/>
      <c r="F994" s="9"/>
      <c r="G994" s="11">
        <f>IF(OR(A994="",B994=""),"",IF(COUNTIFS($A$6:$A$2005,A994,$B$6:$B$2005,B994)&gt;1,"DUPLICATE",""))</f>
        <v/>
      </c>
    </row>
    <row r="995" spans="1:7">
      <c r="A995" s="9"/>
      <c r="B995" s="12"/>
      <c r="C995" s="10"/>
      <c r="D995" s="10"/>
      <c r="E995" s="10"/>
      <c r="F995" s="9"/>
      <c r="G995" s="11">
        <f>IF(OR(A995="",B995=""),"",IF(COUNTIFS($A$6:$A$2005,A995,$B$6:$B$2005,B995)&gt;1,"DUPLICATE",""))</f>
        <v/>
      </c>
    </row>
    <row r="996" spans="1:7">
      <c r="A996" s="9"/>
      <c r="B996" s="12"/>
      <c r="C996" s="10"/>
      <c r="D996" s="10"/>
      <c r="E996" s="10"/>
      <c r="F996" s="9"/>
      <c r="G996" s="11">
        <f>IF(OR(A996="",B996=""),"",IF(COUNTIFS($A$6:$A$2005,A996,$B$6:$B$2005,B996)&gt;1,"DUPLICATE",""))</f>
        <v/>
      </c>
    </row>
    <row r="997" spans="1:7">
      <c r="A997" s="9"/>
      <c r="B997" s="12"/>
      <c r="C997" s="10"/>
      <c r="D997" s="10"/>
      <c r="E997" s="10"/>
      <c r="F997" s="9"/>
      <c r="G997" s="11">
        <f>IF(OR(A997="",B997=""),"",IF(COUNTIFS($A$6:$A$2005,A997,$B$6:$B$2005,B997)&gt;1,"DUPLICATE",""))</f>
        <v/>
      </c>
    </row>
    <row r="998" spans="1:7">
      <c r="A998" s="9"/>
      <c r="B998" s="12"/>
      <c r="C998" s="10"/>
      <c r="D998" s="10"/>
      <c r="E998" s="10"/>
      <c r="F998" s="9"/>
      <c r="G998" s="11">
        <f>IF(OR(A998="",B998=""),"",IF(COUNTIFS($A$6:$A$2005,A998,$B$6:$B$2005,B998)&gt;1,"DUPLICATE",""))</f>
        <v/>
      </c>
    </row>
    <row r="999" spans="1:7">
      <c r="A999" s="9"/>
      <c r="B999" s="12"/>
      <c r="C999" s="10"/>
      <c r="D999" s="10"/>
      <c r="E999" s="10"/>
      <c r="F999" s="9"/>
      <c r="G999" s="11">
        <f>IF(OR(A999="",B999=""),"",IF(COUNTIFS($A$6:$A$2005,A999,$B$6:$B$2005,B999)&gt;1,"DUPLICATE",""))</f>
        <v/>
      </c>
    </row>
    <row r="1000" spans="1:7">
      <c r="A1000" s="9"/>
      <c r="B1000" s="12"/>
      <c r="C1000" s="10"/>
      <c r="D1000" s="10"/>
      <c r="E1000" s="10"/>
      <c r="F1000" s="9"/>
      <c r="G1000" s="11">
        <f>IF(OR(A1000="",B1000=""),"",IF(COUNTIFS($A$6:$A$2005,A1000,$B$6:$B$2005,B1000)&gt;1,"DUPLICATE",""))</f>
        <v/>
      </c>
    </row>
    <row r="1001" spans="1:7">
      <c r="A1001" s="9"/>
      <c r="B1001" s="12"/>
      <c r="C1001" s="10"/>
      <c r="D1001" s="10"/>
      <c r="E1001" s="10"/>
      <c r="F1001" s="9"/>
      <c r="G1001" s="11">
        <f>IF(OR(A1001="",B1001=""),"",IF(COUNTIFS($A$6:$A$2005,A1001,$B$6:$B$2005,B1001)&gt;1,"DUPLICATE",""))</f>
        <v/>
      </c>
    </row>
    <row r="1002" spans="1:7">
      <c r="A1002" s="9"/>
      <c r="B1002" s="12"/>
      <c r="C1002" s="10"/>
      <c r="D1002" s="10"/>
      <c r="E1002" s="10"/>
      <c r="F1002" s="9"/>
      <c r="G1002" s="11">
        <f>IF(OR(A1002="",B1002=""),"",IF(COUNTIFS($A$6:$A$2005,A1002,$B$6:$B$2005,B1002)&gt;1,"DUPLICATE",""))</f>
        <v/>
      </c>
    </row>
    <row r="1003" spans="1:7">
      <c r="A1003" s="9"/>
      <c r="B1003" s="12"/>
      <c r="C1003" s="10"/>
      <c r="D1003" s="10"/>
      <c r="E1003" s="10"/>
      <c r="F1003" s="9"/>
      <c r="G1003" s="11">
        <f>IF(OR(A1003="",B1003=""),"",IF(COUNTIFS($A$6:$A$2005,A1003,$B$6:$B$2005,B1003)&gt;1,"DUPLICATE",""))</f>
        <v/>
      </c>
    </row>
    <row r="1004" spans="1:7">
      <c r="A1004" s="9"/>
      <c r="B1004" s="12"/>
      <c r="C1004" s="10"/>
      <c r="D1004" s="10"/>
      <c r="E1004" s="10"/>
      <c r="F1004" s="9"/>
      <c r="G1004" s="11">
        <f>IF(OR(A1004="",B1004=""),"",IF(COUNTIFS($A$6:$A$2005,A1004,$B$6:$B$2005,B1004)&gt;1,"DUPLICATE",""))</f>
        <v/>
      </c>
    </row>
    <row r="1005" spans="1:7">
      <c r="A1005" s="9"/>
      <c r="B1005" s="12"/>
      <c r="C1005" s="10"/>
      <c r="D1005" s="10"/>
      <c r="E1005" s="10"/>
      <c r="F1005" s="9"/>
      <c r="G1005" s="11">
        <f>IF(OR(A1005="",B1005=""),"",IF(COUNTIFS($A$6:$A$2005,A1005,$B$6:$B$2005,B1005)&gt;1,"DUPLICATE",""))</f>
        <v/>
      </c>
    </row>
    <row r="1006" spans="1:7">
      <c r="A1006" s="9"/>
      <c r="B1006" s="12"/>
      <c r="C1006" s="10"/>
      <c r="D1006" s="10"/>
      <c r="E1006" s="10"/>
      <c r="F1006" s="9"/>
      <c r="G1006" s="11">
        <f>IF(OR(A1006="",B1006=""),"",IF(COUNTIFS($A$6:$A$2005,A1006,$B$6:$B$2005,B1006)&gt;1,"DUPLICATE",""))</f>
        <v/>
      </c>
    </row>
    <row r="1007" spans="1:7">
      <c r="A1007" s="9"/>
      <c r="B1007" s="12"/>
      <c r="C1007" s="10"/>
      <c r="D1007" s="10"/>
      <c r="E1007" s="10"/>
      <c r="F1007" s="9"/>
      <c r="G1007" s="11">
        <f>IF(OR(A1007="",B1007=""),"",IF(COUNTIFS($A$6:$A$2005,A1007,$B$6:$B$2005,B1007)&gt;1,"DUPLICATE",""))</f>
        <v/>
      </c>
    </row>
    <row r="1008" spans="1:7">
      <c r="A1008" s="9"/>
      <c r="B1008" s="12"/>
      <c r="C1008" s="10"/>
      <c r="D1008" s="10"/>
      <c r="E1008" s="10"/>
      <c r="F1008" s="9"/>
      <c r="G1008" s="11">
        <f>IF(OR(A1008="",B1008=""),"",IF(COUNTIFS($A$6:$A$2005,A1008,$B$6:$B$2005,B1008)&gt;1,"DUPLICATE",""))</f>
        <v/>
      </c>
    </row>
    <row r="1009" spans="1:7">
      <c r="A1009" s="9"/>
      <c r="B1009" s="12"/>
      <c r="C1009" s="10"/>
      <c r="D1009" s="10"/>
      <c r="E1009" s="10"/>
      <c r="F1009" s="9"/>
      <c r="G1009" s="11">
        <f>IF(OR(A1009="",B1009=""),"",IF(COUNTIFS($A$6:$A$2005,A1009,$B$6:$B$2005,B1009)&gt;1,"DUPLICATE",""))</f>
        <v/>
      </c>
    </row>
    <row r="1010" spans="1:7">
      <c r="A1010" s="9"/>
      <c r="B1010" s="12"/>
      <c r="C1010" s="10"/>
      <c r="D1010" s="10"/>
      <c r="E1010" s="10"/>
      <c r="F1010" s="9"/>
      <c r="G1010" s="11">
        <f>IF(OR(A1010="",B1010=""),"",IF(COUNTIFS($A$6:$A$2005,A1010,$B$6:$B$2005,B1010)&gt;1,"DUPLICATE",""))</f>
        <v/>
      </c>
    </row>
    <row r="1011" spans="1:7">
      <c r="A1011" s="9"/>
      <c r="B1011" s="12"/>
      <c r="C1011" s="10"/>
      <c r="D1011" s="10"/>
      <c r="E1011" s="10"/>
      <c r="F1011" s="9"/>
      <c r="G1011" s="11">
        <f>IF(OR(A1011="",B1011=""),"",IF(COUNTIFS($A$6:$A$2005,A1011,$B$6:$B$2005,B1011)&gt;1,"DUPLICATE",""))</f>
        <v/>
      </c>
    </row>
    <row r="1012" spans="1:7">
      <c r="A1012" s="9"/>
      <c r="B1012" s="12"/>
      <c r="C1012" s="10"/>
      <c r="D1012" s="10"/>
      <c r="E1012" s="10"/>
      <c r="F1012" s="9"/>
      <c r="G1012" s="11">
        <f>IF(OR(A1012="",B1012=""),"",IF(COUNTIFS($A$6:$A$2005,A1012,$B$6:$B$2005,B1012)&gt;1,"DUPLICATE",""))</f>
        <v/>
      </c>
    </row>
    <row r="1013" spans="1:7">
      <c r="A1013" s="9"/>
      <c r="B1013" s="12"/>
      <c r="C1013" s="10"/>
      <c r="D1013" s="10"/>
      <c r="E1013" s="10"/>
      <c r="F1013" s="9"/>
      <c r="G1013" s="11">
        <f>IF(OR(A1013="",B1013=""),"",IF(COUNTIFS($A$6:$A$2005,A1013,$B$6:$B$2005,B1013)&gt;1,"DUPLICATE",""))</f>
        <v/>
      </c>
    </row>
    <row r="1014" spans="1:7">
      <c r="A1014" s="9"/>
      <c r="B1014" s="12"/>
      <c r="C1014" s="10"/>
      <c r="D1014" s="10"/>
      <c r="E1014" s="10"/>
      <c r="F1014" s="9"/>
      <c r="G1014" s="11">
        <f>IF(OR(A1014="",B1014=""),"",IF(COUNTIFS($A$6:$A$2005,A1014,$B$6:$B$2005,B1014)&gt;1,"DUPLICATE",""))</f>
        <v/>
      </c>
    </row>
    <row r="1015" spans="1:7">
      <c r="A1015" s="9"/>
      <c r="B1015" s="12"/>
      <c r="C1015" s="10"/>
      <c r="D1015" s="10"/>
      <c r="E1015" s="10"/>
      <c r="F1015" s="9"/>
      <c r="G1015" s="11">
        <f>IF(OR(A1015="",B1015=""),"",IF(COUNTIFS($A$6:$A$2005,A1015,$B$6:$B$2005,B1015)&gt;1,"DUPLICATE",""))</f>
        <v/>
      </c>
    </row>
    <row r="1016" spans="1:7">
      <c r="A1016" s="9"/>
      <c r="B1016" s="12"/>
      <c r="C1016" s="10"/>
      <c r="D1016" s="10"/>
      <c r="E1016" s="10"/>
      <c r="F1016" s="9"/>
      <c r="G1016" s="11">
        <f>IF(OR(A1016="",B1016=""),"",IF(COUNTIFS($A$6:$A$2005,A1016,$B$6:$B$2005,B1016)&gt;1,"DUPLICATE",""))</f>
        <v/>
      </c>
    </row>
    <row r="1017" spans="1:7">
      <c r="A1017" s="9"/>
      <c r="B1017" s="12"/>
      <c r="C1017" s="10"/>
      <c r="D1017" s="10"/>
      <c r="E1017" s="10"/>
      <c r="F1017" s="9"/>
      <c r="G1017" s="11">
        <f>IF(OR(A1017="",B1017=""),"",IF(COUNTIFS($A$6:$A$2005,A1017,$B$6:$B$2005,B1017)&gt;1,"DUPLICATE",""))</f>
        <v/>
      </c>
    </row>
    <row r="1018" spans="1:7">
      <c r="A1018" s="9"/>
      <c r="B1018" s="12"/>
      <c r="C1018" s="10"/>
      <c r="D1018" s="10"/>
      <c r="E1018" s="10"/>
      <c r="F1018" s="9"/>
      <c r="G1018" s="11">
        <f>IF(OR(A1018="",B1018=""),"",IF(COUNTIFS($A$6:$A$2005,A1018,$B$6:$B$2005,B1018)&gt;1,"DUPLICATE",""))</f>
        <v/>
      </c>
    </row>
    <row r="1019" spans="1:7">
      <c r="A1019" s="9"/>
      <c r="B1019" s="12"/>
      <c r="C1019" s="10"/>
      <c r="D1019" s="10"/>
      <c r="E1019" s="10"/>
      <c r="F1019" s="9"/>
      <c r="G1019" s="11">
        <f>IF(OR(A1019="",B1019=""),"",IF(COUNTIFS($A$6:$A$2005,A1019,$B$6:$B$2005,B1019)&gt;1,"DUPLICATE",""))</f>
        <v/>
      </c>
    </row>
    <row r="1020" spans="1:7">
      <c r="A1020" s="9"/>
      <c r="B1020" s="12"/>
      <c r="C1020" s="10"/>
      <c r="D1020" s="10"/>
      <c r="E1020" s="10"/>
      <c r="F1020" s="9"/>
      <c r="G1020" s="11">
        <f>IF(OR(A1020="",B1020=""),"",IF(COUNTIFS($A$6:$A$2005,A1020,$B$6:$B$2005,B1020)&gt;1,"DUPLICATE",""))</f>
        <v/>
      </c>
    </row>
    <row r="1021" spans="1:7">
      <c r="A1021" s="9"/>
      <c r="B1021" s="12"/>
      <c r="C1021" s="10"/>
      <c r="D1021" s="10"/>
      <c r="E1021" s="10"/>
      <c r="F1021" s="9"/>
      <c r="G1021" s="11">
        <f>IF(OR(A1021="",B1021=""),"",IF(COUNTIFS($A$6:$A$2005,A1021,$B$6:$B$2005,B1021)&gt;1,"DUPLICATE",""))</f>
        <v/>
      </c>
    </row>
    <row r="1022" spans="1:7">
      <c r="A1022" s="9"/>
      <c r="B1022" s="12"/>
      <c r="C1022" s="10"/>
      <c r="D1022" s="10"/>
      <c r="E1022" s="10"/>
      <c r="F1022" s="9"/>
      <c r="G1022" s="11">
        <f>IF(OR(A1022="",B1022=""),"",IF(COUNTIFS($A$6:$A$2005,A1022,$B$6:$B$2005,B1022)&gt;1,"DUPLICATE",""))</f>
        <v/>
      </c>
    </row>
    <row r="1023" spans="1:7">
      <c r="A1023" s="9"/>
      <c r="B1023" s="12"/>
      <c r="C1023" s="10"/>
      <c r="D1023" s="10"/>
      <c r="E1023" s="10"/>
      <c r="F1023" s="9"/>
      <c r="G1023" s="11">
        <f>IF(OR(A1023="",B1023=""),"",IF(COUNTIFS($A$6:$A$2005,A1023,$B$6:$B$2005,B1023)&gt;1,"DUPLICATE",""))</f>
        <v/>
      </c>
    </row>
    <row r="1024" spans="1:7">
      <c r="A1024" s="9"/>
      <c r="B1024" s="12"/>
      <c r="C1024" s="10"/>
      <c r="D1024" s="10"/>
      <c r="E1024" s="10"/>
      <c r="F1024" s="9"/>
      <c r="G1024" s="11">
        <f>IF(OR(A1024="",B1024=""),"",IF(COUNTIFS($A$6:$A$2005,A1024,$B$6:$B$2005,B1024)&gt;1,"DUPLICATE",""))</f>
        <v/>
      </c>
    </row>
    <row r="1025" spans="1:7">
      <c r="A1025" s="9"/>
      <c r="B1025" s="12"/>
      <c r="C1025" s="10"/>
      <c r="D1025" s="10"/>
      <c r="E1025" s="10"/>
      <c r="F1025" s="9"/>
      <c r="G1025" s="11">
        <f>IF(OR(A1025="",B1025=""),"",IF(COUNTIFS($A$6:$A$2005,A1025,$B$6:$B$2005,B1025)&gt;1,"DUPLICATE",""))</f>
        <v/>
      </c>
    </row>
    <row r="1026" spans="1:7">
      <c r="A1026" s="9"/>
      <c r="B1026" s="12"/>
      <c r="C1026" s="10"/>
      <c r="D1026" s="10"/>
      <c r="E1026" s="10"/>
      <c r="F1026" s="9"/>
      <c r="G1026" s="11">
        <f>IF(OR(A1026="",B1026=""),"",IF(COUNTIFS($A$6:$A$2005,A1026,$B$6:$B$2005,B1026)&gt;1,"DUPLICATE",""))</f>
        <v/>
      </c>
    </row>
    <row r="1027" spans="1:7">
      <c r="A1027" s="9"/>
      <c r="B1027" s="12"/>
      <c r="C1027" s="10"/>
      <c r="D1027" s="10"/>
      <c r="E1027" s="10"/>
      <c r="F1027" s="9"/>
      <c r="G1027" s="11">
        <f>IF(OR(A1027="",B1027=""),"",IF(COUNTIFS($A$6:$A$2005,A1027,$B$6:$B$2005,B1027)&gt;1,"DUPLICATE",""))</f>
        <v/>
      </c>
    </row>
    <row r="1028" spans="1:7">
      <c r="A1028" s="9"/>
      <c r="B1028" s="12"/>
      <c r="C1028" s="10"/>
      <c r="D1028" s="10"/>
      <c r="E1028" s="10"/>
      <c r="F1028" s="9"/>
      <c r="G1028" s="11">
        <f>IF(OR(A1028="",B1028=""),"",IF(COUNTIFS($A$6:$A$2005,A1028,$B$6:$B$2005,B1028)&gt;1,"DUPLICATE",""))</f>
        <v/>
      </c>
    </row>
    <row r="1029" spans="1:7">
      <c r="A1029" s="9"/>
      <c r="B1029" s="12"/>
      <c r="C1029" s="10"/>
      <c r="D1029" s="10"/>
      <c r="E1029" s="10"/>
      <c r="F1029" s="9"/>
      <c r="G1029" s="11">
        <f>IF(OR(A1029="",B1029=""),"",IF(COUNTIFS($A$6:$A$2005,A1029,$B$6:$B$2005,B1029)&gt;1,"DUPLICATE",""))</f>
        <v/>
      </c>
    </row>
    <row r="1030" spans="1:7">
      <c r="A1030" s="9"/>
      <c r="B1030" s="12"/>
      <c r="C1030" s="10"/>
      <c r="D1030" s="10"/>
      <c r="E1030" s="10"/>
      <c r="F1030" s="9"/>
      <c r="G1030" s="11">
        <f>IF(OR(A1030="",B1030=""),"",IF(COUNTIFS($A$6:$A$2005,A1030,$B$6:$B$2005,B1030)&gt;1,"DUPLICATE",""))</f>
        <v/>
      </c>
    </row>
    <row r="1031" spans="1:7">
      <c r="A1031" s="9"/>
      <c r="B1031" s="12"/>
      <c r="C1031" s="10"/>
      <c r="D1031" s="10"/>
      <c r="E1031" s="10"/>
      <c r="F1031" s="9"/>
      <c r="G1031" s="11">
        <f>IF(OR(A1031="",B1031=""),"",IF(COUNTIFS($A$6:$A$2005,A1031,$B$6:$B$2005,B1031)&gt;1,"DUPLICATE",""))</f>
        <v/>
      </c>
    </row>
    <row r="1032" spans="1:7">
      <c r="A1032" s="9"/>
      <c r="B1032" s="12"/>
      <c r="C1032" s="10"/>
      <c r="D1032" s="10"/>
      <c r="E1032" s="10"/>
      <c r="F1032" s="9"/>
      <c r="G1032" s="11">
        <f>IF(OR(A1032="",B1032=""),"",IF(COUNTIFS($A$6:$A$2005,A1032,$B$6:$B$2005,B1032)&gt;1,"DUPLICATE",""))</f>
        <v/>
      </c>
    </row>
    <row r="1033" spans="1:7">
      <c r="A1033" s="9"/>
      <c r="B1033" s="12"/>
      <c r="C1033" s="10"/>
      <c r="D1033" s="10"/>
      <c r="E1033" s="10"/>
      <c r="F1033" s="9"/>
      <c r="G1033" s="11">
        <f>IF(OR(A1033="",B1033=""),"",IF(COUNTIFS($A$6:$A$2005,A1033,$B$6:$B$2005,B1033)&gt;1,"DUPLICATE",""))</f>
        <v/>
      </c>
    </row>
    <row r="1034" spans="1:7">
      <c r="A1034" s="9"/>
      <c r="B1034" s="12"/>
      <c r="C1034" s="10"/>
      <c r="D1034" s="10"/>
      <c r="E1034" s="10"/>
      <c r="F1034" s="9"/>
      <c r="G1034" s="11">
        <f>IF(OR(A1034="",B1034=""),"",IF(COUNTIFS($A$6:$A$2005,A1034,$B$6:$B$2005,B1034)&gt;1,"DUPLICATE",""))</f>
        <v/>
      </c>
    </row>
    <row r="1035" spans="1:7">
      <c r="A1035" s="9"/>
      <c r="B1035" s="12"/>
      <c r="C1035" s="10"/>
      <c r="D1035" s="10"/>
      <c r="E1035" s="10"/>
      <c r="F1035" s="9"/>
      <c r="G1035" s="11">
        <f>IF(OR(A1035="",B1035=""),"",IF(COUNTIFS($A$6:$A$2005,A1035,$B$6:$B$2005,B1035)&gt;1,"DUPLICATE",""))</f>
        <v/>
      </c>
    </row>
    <row r="1036" spans="1:7">
      <c r="A1036" s="9"/>
      <c r="B1036" s="12"/>
      <c r="C1036" s="10"/>
      <c r="D1036" s="10"/>
      <c r="E1036" s="10"/>
      <c r="F1036" s="9"/>
      <c r="G1036" s="11">
        <f>IF(OR(A1036="",B1036=""),"",IF(COUNTIFS($A$6:$A$2005,A1036,$B$6:$B$2005,B1036)&gt;1,"DUPLICATE",""))</f>
        <v/>
      </c>
    </row>
    <row r="1037" spans="1:7">
      <c r="A1037" s="9"/>
      <c r="B1037" s="12"/>
      <c r="C1037" s="10"/>
      <c r="D1037" s="10"/>
      <c r="E1037" s="10"/>
      <c r="F1037" s="9"/>
      <c r="G1037" s="11">
        <f>IF(OR(A1037="",B1037=""),"",IF(COUNTIFS($A$6:$A$2005,A1037,$B$6:$B$2005,B1037)&gt;1,"DUPLICATE",""))</f>
        <v/>
      </c>
    </row>
    <row r="1038" spans="1:7">
      <c r="A1038" s="9"/>
      <c r="B1038" s="12"/>
      <c r="C1038" s="10"/>
      <c r="D1038" s="10"/>
      <c r="E1038" s="10"/>
      <c r="F1038" s="9"/>
      <c r="G1038" s="11">
        <f>IF(OR(A1038="",B1038=""),"",IF(COUNTIFS($A$6:$A$2005,A1038,$B$6:$B$2005,B1038)&gt;1,"DUPLICATE",""))</f>
        <v/>
      </c>
    </row>
    <row r="1039" spans="1:7">
      <c r="A1039" s="9"/>
      <c r="B1039" s="12"/>
      <c r="C1039" s="10"/>
      <c r="D1039" s="10"/>
      <c r="E1039" s="10"/>
      <c r="F1039" s="9"/>
      <c r="G1039" s="11">
        <f>IF(OR(A1039="",B1039=""),"",IF(COUNTIFS($A$6:$A$2005,A1039,$B$6:$B$2005,B1039)&gt;1,"DUPLICATE",""))</f>
        <v/>
      </c>
    </row>
    <row r="1040" spans="1:7">
      <c r="A1040" s="9"/>
      <c r="B1040" s="12"/>
      <c r="C1040" s="10"/>
      <c r="D1040" s="10"/>
      <c r="E1040" s="10"/>
      <c r="F1040" s="9"/>
      <c r="G1040" s="11">
        <f>IF(OR(A1040="",B1040=""),"",IF(COUNTIFS($A$6:$A$2005,A1040,$B$6:$B$2005,B1040)&gt;1,"DUPLICATE",""))</f>
        <v/>
      </c>
    </row>
    <row r="1041" spans="1:7">
      <c r="A1041" s="9"/>
      <c r="B1041" s="12"/>
      <c r="C1041" s="10"/>
      <c r="D1041" s="10"/>
      <c r="E1041" s="10"/>
      <c r="F1041" s="9"/>
      <c r="G1041" s="11">
        <f>IF(OR(A1041="",B1041=""),"",IF(COUNTIFS($A$6:$A$2005,A1041,$B$6:$B$2005,B1041)&gt;1,"DUPLICATE",""))</f>
        <v/>
      </c>
    </row>
    <row r="1042" spans="1:7">
      <c r="A1042" s="9"/>
      <c r="B1042" s="12"/>
      <c r="C1042" s="10"/>
      <c r="D1042" s="10"/>
      <c r="E1042" s="10"/>
      <c r="F1042" s="9"/>
      <c r="G1042" s="11">
        <f>IF(OR(A1042="",B1042=""),"",IF(COUNTIFS($A$6:$A$2005,A1042,$B$6:$B$2005,B1042)&gt;1,"DUPLICATE",""))</f>
        <v/>
      </c>
    </row>
    <row r="1043" spans="1:7">
      <c r="A1043" s="9"/>
      <c r="B1043" s="12"/>
      <c r="C1043" s="10"/>
      <c r="D1043" s="10"/>
      <c r="E1043" s="10"/>
      <c r="F1043" s="9"/>
      <c r="G1043" s="11">
        <f>IF(OR(A1043="",B1043=""),"",IF(COUNTIFS($A$6:$A$2005,A1043,$B$6:$B$2005,B1043)&gt;1,"DUPLICATE",""))</f>
        <v/>
      </c>
    </row>
    <row r="1044" spans="1:7">
      <c r="A1044" s="9"/>
      <c r="B1044" s="12"/>
      <c r="C1044" s="10"/>
      <c r="D1044" s="10"/>
      <c r="E1044" s="10"/>
      <c r="F1044" s="9"/>
      <c r="G1044" s="11">
        <f>IF(OR(A1044="",B1044=""),"",IF(COUNTIFS($A$6:$A$2005,A1044,$B$6:$B$2005,B1044)&gt;1,"DUPLICATE",""))</f>
        <v/>
      </c>
    </row>
    <row r="1045" spans="1:7">
      <c r="A1045" s="9"/>
      <c r="B1045" s="12"/>
      <c r="C1045" s="10"/>
      <c r="D1045" s="10"/>
      <c r="E1045" s="10"/>
      <c r="F1045" s="9"/>
      <c r="G1045" s="11">
        <f>IF(OR(A1045="",B1045=""),"",IF(COUNTIFS($A$6:$A$2005,A1045,$B$6:$B$2005,B1045)&gt;1,"DUPLICATE",""))</f>
        <v/>
      </c>
    </row>
    <row r="1046" spans="1:7">
      <c r="A1046" s="9"/>
      <c r="B1046" s="12"/>
      <c r="C1046" s="10"/>
      <c r="D1046" s="10"/>
      <c r="E1046" s="10"/>
      <c r="F1046" s="9"/>
      <c r="G1046" s="11">
        <f>IF(OR(A1046="",B1046=""),"",IF(COUNTIFS($A$6:$A$2005,A1046,$B$6:$B$2005,B1046)&gt;1,"DUPLICATE",""))</f>
        <v/>
      </c>
    </row>
    <row r="1047" spans="1:7">
      <c r="A1047" s="9"/>
      <c r="B1047" s="12"/>
      <c r="C1047" s="10"/>
      <c r="D1047" s="10"/>
      <c r="E1047" s="10"/>
      <c r="F1047" s="9"/>
      <c r="G1047" s="11">
        <f>IF(OR(A1047="",B1047=""),"",IF(COUNTIFS($A$6:$A$2005,A1047,$B$6:$B$2005,B1047)&gt;1,"DUPLICATE",""))</f>
        <v/>
      </c>
    </row>
    <row r="1048" spans="1:7">
      <c r="A1048" s="9"/>
      <c r="B1048" s="12"/>
      <c r="C1048" s="10"/>
      <c r="D1048" s="10"/>
      <c r="E1048" s="10"/>
      <c r="F1048" s="9"/>
      <c r="G1048" s="11">
        <f>IF(OR(A1048="",B1048=""),"",IF(COUNTIFS($A$6:$A$2005,A1048,$B$6:$B$2005,B1048)&gt;1,"DUPLICATE",""))</f>
        <v/>
      </c>
    </row>
    <row r="1049" spans="1:7">
      <c r="A1049" s="9"/>
      <c r="B1049" s="12"/>
      <c r="C1049" s="10"/>
      <c r="D1049" s="10"/>
      <c r="E1049" s="10"/>
      <c r="F1049" s="9"/>
      <c r="G1049" s="11">
        <f>IF(OR(A1049="",B1049=""),"",IF(COUNTIFS($A$6:$A$2005,A1049,$B$6:$B$2005,B1049)&gt;1,"DUPLICATE",""))</f>
        <v/>
      </c>
    </row>
    <row r="1050" spans="1:7">
      <c r="A1050" s="9"/>
      <c r="B1050" s="12"/>
      <c r="C1050" s="10"/>
      <c r="D1050" s="10"/>
      <c r="E1050" s="10"/>
      <c r="F1050" s="9"/>
      <c r="G1050" s="11">
        <f>IF(OR(A1050="",B1050=""),"",IF(COUNTIFS($A$6:$A$2005,A1050,$B$6:$B$2005,B1050)&gt;1,"DUPLICATE",""))</f>
        <v/>
      </c>
    </row>
    <row r="1051" spans="1:7">
      <c r="A1051" s="9"/>
      <c r="B1051" s="12"/>
      <c r="C1051" s="10"/>
      <c r="D1051" s="10"/>
      <c r="E1051" s="10"/>
      <c r="F1051" s="9"/>
      <c r="G1051" s="11">
        <f>IF(OR(A1051="",B1051=""),"",IF(COUNTIFS($A$6:$A$2005,A1051,$B$6:$B$2005,B1051)&gt;1,"DUPLICATE",""))</f>
        <v/>
      </c>
    </row>
    <row r="1052" spans="1:7">
      <c r="A1052" s="9"/>
      <c r="B1052" s="12"/>
      <c r="C1052" s="10"/>
      <c r="D1052" s="10"/>
      <c r="E1052" s="10"/>
      <c r="F1052" s="9"/>
      <c r="G1052" s="11">
        <f>IF(OR(A1052="",B1052=""),"",IF(COUNTIFS($A$6:$A$2005,A1052,$B$6:$B$2005,B1052)&gt;1,"DUPLICATE",""))</f>
        <v/>
      </c>
    </row>
    <row r="1053" spans="1:7">
      <c r="A1053" s="9"/>
      <c r="B1053" s="12"/>
      <c r="C1053" s="10"/>
      <c r="D1053" s="10"/>
      <c r="E1053" s="10"/>
      <c r="F1053" s="9"/>
      <c r="G1053" s="11">
        <f>IF(OR(A1053="",B1053=""),"",IF(COUNTIFS($A$6:$A$2005,A1053,$B$6:$B$2005,B1053)&gt;1,"DUPLICATE",""))</f>
        <v/>
      </c>
    </row>
    <row r="1054" spans="1:7">
      <c r="A1054" s="9"/>
      <c r="B1054" s="12"/>
      <c r="C1054" s="10"/>
      <c r="D1054" s="10"/>
      <c r="E1054" s="10"/>
      <c r="F1054" s="9"/>
      <c r="G1054" s="11">
        <f>IF(OR(A1054="",B1054=""),"",IF(COUNTIFS($A$6:$A$2005,A1054,$B$6:$B$2005,B1054)&gt;1,"DUPLICATE",""))</f>
        <v/>
      </c>
    </row>
    <row r="1055" spans="1:7">
      <c r="A1055" s="9"/>
      <c r="B1055" s="12"/>
      <c r="C1055" s="10"/>
      <c r="D1055" s="10"/>
      <c r="E1055" s="10"/>
      <c r="F1055" s="9"/>
      <c r="G1055" s="11">
        <f>IF(OR(A1055="",B1055=""),"",IF(COUNTIFS($A$6:$A$2005,A1055,$B$6:$B$2005,B1055)&gt;1,"DUPLICATE",""))</f>
        <v/>
      </c>
    </row>
    <row r="1056" spans="1:7">
      <c r="A1056" s="9"/>
      <c r="B1056" s="12"/>
      <c r="C1056" s="10"/>
      <c r="D1056" s="10"/>
      <c r="E1056" s="10"/>
      <c r="F1056" s="9"/>
      <c r="G1056" s="11">
        <f>IF(OR(A1056="",B1056=""),"",IF(COUNTIFS($A$6:$A$2005,A1056,$B$6:$B$2005,B1056)&gt;1,"DUPLICATE",""))</f>
        <v/>
      </c>
    </row>
    <row r="1057" spans="1:7">
      <c r="A1057" s="9"/>
      <c r="B1057" s="12"/>
      <c r="C1057" s="10"/>
      <c r="D1057" s="10"/>
      <c r="E1057" s="10"/>
      <c r="F1057" s="9"/>
      <c r="G1057" s="11">
        <f>IF(OR(A1057="",B1057=""),"",IF(COUNTIFS($A$6:$A$2005,A1057,$B$6:$B$2005,B1057)&gt;1,"DUPLICATE",""))</f>
        <v/>
      </c>
    </row>
    <row r="1058" spans="1:7">
      <c r="A1058" s="9"/>
      <c r="B1058" s="12"/>
      <c r="C1058" s="10"/>
      <c r="D1058" s="10"/>
      <c r="E1058" s="10"/>
      <c r="F1058" s="9"/>
      <c r="G1058" s="11">
        <f>IF(OR(A1058="",B1058=""),"",IF(COUNTIFS($A$6:$A$2005,A1058,$B$6:$B$2005,B1058)&gt;1,"DUPLICATE",""))</f>
        <v/>
      </c>
    </row>
    <row r="1059" spans="1:7">
      <c r="A1059" s="9"/>
      <c r="B1059" s="12"/>
      <c r="C1059" s="10"/>
      <c r="D1059" s="10"/>
      <c r="E1059" s="10"/>
      <c r="F1059" s="9"/>
      <c r="G1059" s="11">
        <f>IF(OR(A1059="",B1059=""),"",IF(COUNTIFS($A$6:$A$2005,A1059,$B$6:$B$2005,B1059)&gt;1,"DUPLICATE",""))</f>
        <v/>
      </c>
    </row>
    <row r="1060" spans="1:7">
      <c r="A1060" s="9"/>
      <c r="B1060" s="12"/>
      <c r="C1060" s="10"/>
      <c r="D1060" s="10"/>
      <c r="E1060" s="10"/>
      <c r="F1060" s="9"/>
      <c r="G1060" s="11">
        <f>IF(OR(A1060="",B1060=""),"",IF(COUNTIFS($A$6:$A$2005,A1060,$B$6:$B$2005,B1060)&gt;1,"DUPLICATE",""))</f>
        <v/>
      </c>
    </row>
    <row r="1061" spans="1:7">
      <c r="A1061" s="9"/>
      <c r="B1061" s="12"/>
      <c r="C1061" s="10"/>
      <c r="D1061" s="10"/>
      <c r="E1061" s="10"/>
      <c r="F1061" s="9"/>
      <c r="G1061" s="11">
        <f>IF(OR(A1061="",B1061=""),"",IF(COUNTIFS($A$6:$A$2005,A1061,$B$6:$B$2005,B1061)&gt;1,"DUPLICATE",""))</f>
        <v/>
      </c>
    </row>
    <row r="1062" spans="1:7">
      <c r="A1062" s="9"/>
      <c r="B1062" s="12"/>
      <c r="C1062" s="10"/>
      <c r="D1062" s="10"/>
      <c r="E1062" s="10"/>
      <c r="F1062" s="9"/>
      <c r="G1062" s="11">
        <f>IF(OR(A1062="",B1062=""),"",IF(COUNTIFS($A$6:$A$2005,A1062,$B$6:$B$2005,B1062)&gt;1,"DUPLICATE",""))</f>
        <v/>
      </c>
    </row>
    <row r="1063" spans="1:7">
      <c r="A1063" s="9"/>
      <c r="B1063" s="12"/>
      <c r="C1063" s="10"/>
      <c r="D1063" s="10"/>
      <c r="E1063" s="10"/>
      <c r="F1063" s="9"/>
      <c r="G1063" s="11">
        <f>IF(OR(A1063="",B1063=""),"",IF(COUNTIFS($A$6:$A$2005,A1063,$B$6:$B$2005,B1063)&gt;1,"DUPLICATE",""))</f>
        <v/>
      </c>
    </row>
    <row r="1064" spans="1:7">
      <c r="A1064" s="9"/>
      <c r="B1064" s="12"/>
      <c r="C1064" s="10"/>
      <c r="D1064" s="10"/>
      <c r="E1064" s="10"/>
      <c r="F1064" s="9"/>
      <c r="G1064" s="11">
        <f>IF(OR(A1064="",B1064=""),"",IF(COUNTIFS($A$6:$A$2005,A1064,$B$6:$B$2005,B1064)&gt;1,"DUPLICATE",""))</f>
        <v/>
      </c>
    </row>
    <row r="1065" spans="1:7">
      <c r="A1065" s="9"/>
      <c r="B1065" s="12"/>
      <c r="C1065" s="10"/>
      <c r="D1065" s="10"/>
      <c r="E1065" s="10"/>
      <c r="F1065" s="9"/>
      <c r="G1065" s="11">
        <f>IF(OR(A1065="",B1065=""),"",IF(COUNTIFS($A$6:$A$2005,A1065,$B$6:$B$2005,B1065)&gt;1,"DUPLICATE",""))</f>
        <v/>
      </c>
    </row>
    <row r="1066" spans="1:7">
      <c r="A1066" s="9"/>
      <c r="B1066" s="12"/>
      <c r="C1066" s="10"/>
      <c r="D1066" s="10"/>
      <c r="E1066" s="10"/>
      <c r="F1066" s="9"/>
      <c r="G1066" s="11">
        <f>IF(OR(A1066="",B1066=""),"",IF(COUNTIFS($A$6:$A$2005,A1066,$B$6:$B$2005,B1066)&gt;1,"DUPLICATE",""))</f>
        <v/>
      </c>
    </row>
    <row r="1067" spans="1:7">
      <c r="A1067" s="9"/>
      <c r="B1067" s="12"/>
      <c r="C1067" s="10"/>
      <c r="D1067" s="10"/>
      <c r="E1067" s="10"/>
      <c r="F1067" s="9"/>
      <c r="G1067" s="11">
        <f>IF(OR(A1067="",B1067=""),"",IF(COUNTIFS($A$6:$A$2005,A1067,$B$6:$B$2005,B1067)&gt;1,"DUPLICATE",""))</f>
        <v/>
      </c>
    </row>
    <row r="1068" spans="1:7">
      <c r="A1068" s="9"/>
      <c r="B1068" s="12"/>
      <c r="C1068" s="10"/>
      <c r="D1068" s="10"/>
      <c r="E1068" s="10"/>
      <c r="F1068" s="9"/>
      <c r="G1068" s="11">
        <f>IF(OR(A1068="",B1068=""),"",IF(COUNTIFS($A$6:$A$2005,A1068,$B$6:$B$2005,B1068)&gt;1,"DUPLICATE",""))</f>
        <v/>
      </c>
    </row>
    <row r="1069" spans="1:7">
      <c r="A1069" s="9"/>
      <c r="B1069" s="12"/>
      <c r="C1069" s="10"/>
      <c r="D1069" s="10"/>
      <c r="E1069" s="10"/>
      <c r="F1069" s="9"/>
      <c r="G1069" s="11">
        <f>IF(OR(A1069="",B1069=""),"",IF(COUNTIFS($A$6:$A$2005,A1069,$B$6:$B$2005,B1069)&gt;1,"DUPLICATE",""))</f>
        <v/>
      </c>
    </row>
    <row r="1070" spans="1:7">
      <c r="A1070" s="9"/>
      <c r="B1070" s="12"/>
      <c r="C1070" s="10"/>
      <c r="D1070" s="10"/>
      <c r="E1070" s="10"/>
      <c r="F1070" s="9"/>
      <c r="G1070" s="11">
        <f>IF(OR(A1070="",B1070=""),"",IF(COUNTIFS($A$6:$A$2005,A1070,$B$6:$B$2005,B1070)&gt;1,"DUPLICATE",""))</f>
        <v/>
      </c>
    </row>
    <row r="1071" spans="1:7">
      <c r="A1071" s="9"/>
      <c r="B1071" s="12"/>
      <c r="C1071" s="10"/>
      <c r="D1071" s="10"/>
      <c r="E1071" s="10"/>
      <c r="F1071" s="9"/>
      <c r="G1071" s="11">
        <f>IF(OR(A1071="",B1071=""),"",IF(COUNTIFS($A$6:$A$2005,A1071,$B$6:$B$2005,B1071)&gt;1,"DUPLICATE",""))</f>
        <v/>
      </c>
    </row>
    <row r="1072" spans="1:7">
      <c r="A1072" s="9"/>
      <c r="B1072" s="12"/>
      <c r="C1072" s="10"/>
      <c r="D1072" s="10"/>
      <c r="E1072" s="10"/>
      <c r="F1072" s="9"/>
      <c r="G1072" s="11">
        <f>IF(OR(A1072="",B1072=""),"",IF(COUNTIFS($A$6:$A$2005,A1072,$B$6:$B$2005,B1072)&gt;1,"DUPLICATE",""))</f>
        <v/>
      </c>
    </row>
    <row r="1073" spans="1:7">
      <c r="A1073" s="9"/>
      <c r="B1073" s="12"/>
      <c r="C1073" s="10"/>
      <c r="D1073" s="10"/>
      <c r="E1073" s="10"/>
      <c r="F1073" s="9"/>
      <c r="G1073" s="11">
        <f>IF(OR(A1073="",B1073=""),"",IF(COUNTIFS($A$6:$A$2005,A1073,$B$6:$B$2005,B1073)&gt;1,"DUPLICATE",""))</f>
        <v/>
      </c>
    </row>
    <row r="1074" spans="1:7">
      <c r="A1074" s="9"/>
      <c r="B1074" s="12"/>
      <c r="C1074" s="10"/>
      <c r="D1074" s="10"/>
      <c r="E1074" s="10"/>
      <c r="F1074" s="9"/>
      <c r="G1074" s="11">
        <f>IF(OR(A1074="",B1074=""),"",IF(COUNTIFS($A$6:$A$2005,A1074,$B$6:$B$2005,B1074)&gt;1,"DUPLICATE",""))</f>
        <v/>
      </c>
    </row>
    <row r="1075" spans="1:7">
      <c r="A1075" s="9"/>
      <c r="B1075" s="12"/>
      <c r="C1075" s="10"/>
      <c r="D1075" s="10"/>
      <c r="E1075" s="10"/>
      <c r="F1075" s="9"/>
      <c r="G1075" s="11">
        <f>IF(OR(A1075="",B1075=""),"",IF(COUNTIFS($A$6:$A$2005,A1075,$B$6:$B$2005,B1075)&gt;1,"DUPLICATE",""))</f>
        <v/>
      </c>
    </row>
    <row r="1076" spans="1:7">
      <c r="A1076" s="9"/>
      <c r="B1076" s="12"/>
      <c r="C1076" s="10"/>
      <c r="D1076" s="10"/>
      <c r="E1076" s="10"/>
      <c r="F1076" s="9"/>
      <c r="G1076" s="11">
        <f>IF(OR(A1076="",B1076=""),"",IF(COUNTIFS($A$6:$A$2005,A1076,$B$6:$B$2005,B1076)&gt;1,"DUPLICATE",""))</f>
        <v/>
      </c>
    </row>
    <row r="1077" spans="1:7">
      <c r="A1077" s="9"/>
      <c r="B1077" s="12"/>
      <c r="C1077" s="10"/>
      <c r="D1077" s="10"/>
      <c r="E1077" s="10"/>
      <c r="F1077" s="9"/>
      <c r="G1077" s="11">
        <f>IF(OR(A1077="",B1077=""),"",IF(COUNTIFS($A$6:$A$2005,A1077,$B$6:$B$2005,B1077)&gt;1,"DUPLICATE",""))</f>
        <v/>
      </c>
    </row>
    <row r="1078" spans="1:7">
      <c r="A1078" s="9"/>
      <c r="B1078" s="12"/>
      <c r="C1078" s="10"/>
      <c r="D1078" s="10"/>
      <c r="E1078" s="10"/>
      <c r="F1078" s="9"/>
      <c r="G1078" s="11">
        <f>IF(OR(A1078="",B1078=""),"",IF(COUNTIFS($A$6:$A$2005,A1078,$B$6:$B$2005,B1078)&gt;1,"DUPLICATE",""))</f>
        <v/>
      </c>
    </row>
    <row r="1079" spans="1:7">
      <c r="A1079" s="9"/>
      <c r="B1079" s="12"/>
      <c r="C1079" s="10"/>
      <c r="D1079" s="10"/>
      <c r="E1079" s="10"/>
      <c r="F1079" s="9"/>
      <c r="G1079" s="11">
        <f>IF(OR(A1079="",B1079=""),"",IF(COUNTIFS($A$6:$A$2005,A1079,$B$6:$B$2005,B1079)&gt;1,"DUPLICATE",""))</f>
        <v/>
      </c>
    </row>
    <row r="1080" spans="1:7">
      <c r="A1080" s="9"/>
      <c r="B1080" s="12"/>
      <c r="C1080" s="10"/>
      <c r="D1080" s="10"/>
      <c r="E1080" s="10"/>
      <c r="F1080" s="9"/>
      <c r="G1080" s="11">
        <f>IF(OR(A1080="",B1080=""),"",IF(COUNTIFS($A$6:$A$2005,A1080,$B$6:$B$2005,B1080)&gt;1,"DUPLICATE",""))</f>
        <v/>
      </c>
    </row>
    <row r="1081" spans="1:7">
      <c r="A1081" s="9"/>
      <c r="B1081" s="12"/>
      <c r="C1081" s="10"/>
      <c r="D1081" s="10"/>
      <c r="E1081" s="10"/>
      <c r="F1081" s="9"/>
      <c r="G1081" s="11">
        <f>IF(OR(A1081="",B1081=""),"",IF(COUNTIFS($A$6:$A$2005,A1081,$B$6:$B$2005,B1081)&gt;1,"DUPLICATE",""))</f>
        <v/>
      </c>
    </row>
    <row r="1082" spans="1:7">
      <c r="A1082" s="9"/>
      <c r="B1082" s="12"/>
      <c r="C1082" s="10"/>
      <c r="D1082" s="10"/>
      <c r="E1082" s="10"/>
      <c r="F1082" s="9"/>
      <c r="G1082" s="11">
        <f>IF(OR(A1082="",B1082=""),"",IF(COUNTIFS($A$6:$A$2005,A1082,$B$6:$B$2005,B1082)&gt;1,"DUPLICATE",""))</f>
        <v/>
      </c>
    </row>
    <row r="1083" spans="1:7">
      <c r="A1083" s="9"/>
      <c r="B1083" s="12"/>
      <c r="C1083" s="10"/>
      <c r="D1083" s="10"/>
      <c r="E1083" s="10"/>
      <c r="F1083" s="9"/>
      <c r="G1083" s="11">
        <f>IF(OR(A1083="",B1083=""),"",IF(COUNTIFS($A$6:$A$2005,A1083,$B$6:$B$2005,B1083)&gt;1,"DUPLICATE",""))</f>
        <v/>
      </c>
    </row>
    <row r="1084" spans="1:7">
      <c r="A1084" s="9"/>
      <c r="B1084" s="12"/>
      <c r="C1084" s="10"/>
      <c r="D1084" s="10"/>
      <c r="E1084" s="10"/>
      <c r="F1084" s="9"/>
      <c r="G1084" s="11">
        <f>IF(OR(A1084="",B1084=""),"",IF(COUNTIFS($A$6:$A$2005,A1084,$B$6:$B$2005,B1084)&gt;1,"DUPLICATE",""))</f>
        <v/>
      </c>
    </row>
    <row r="1085" spans="1:7">
      <c r="A1085" s="9"/>
      <c r="B1085" s="12"/>
      <c r="C1085" s="10"/>
      <c r="D1085" s="10"/>
      <c r="E1085" s="10"/>
      <c r="F1085" s="9"/>
      <c r="G1085" s="11">
        <f>IF(OR(A1085="",B1085=""),"",IF(COUNTIFS($A$6:$A$2005,A1085,$B$6:$B$2005,B1085)&gt;1,"DUPLICATE",""))</f>
        <v/>
      </c>
    </row>
    <row r="1086" spans="1:7">
      <c r="A1086" s="9"/>
      <c r="B1086" s="12"/>
      <c r="C1086" s="10"/>
      <c r="D1086" s="10"/>
      <c r="E1086" s="10"/>
      <c r="F1086" s="9"/>
      <c r="G1086" s="11">
        <f>IF(OR(A1086="",B1086=""),"",IF(COUNTIFS($A$6:$A$2005,A1086,$B$6:$B$2005,B1086)&gt;1,"DUPLICATE",""))</f>
        <v/>
      </c>
    </row>
    <row r="1087" spans="1:7">
      <c r="A1087" s="9"/>
      <c r="B1087" s="12"/>
      <c r="C1087" s="10"/>
      <c r="D1087" s="10"/>
      <c r="E1087" s="10"/>
      <c r="F1087" s="9"/>
      <c r="G1087" s="11">
        <f>IF(OR(A1087="",B1087=""),"",IF(COUNTIFS($A$6:$A$2005,A1087,$B$6:$B$2005,B1087)&gt;1,"DUPLICATE",""))</f>
        <v/>
      </c>
    </row>
    <row r="1088" spans="1:7">
      <c r="A1088" s="9"/>
      <c r="B1088" s="12"/>
      <c r="C1088" s="10"/>
      <c r="D1088" s="10"/>
      <c r="E1088" s="10"/>
      <c r="F1088" s="9"/>
      <c r="G1088" s="11">
        <f>IF(OR(A1088="",B1088=""),"",IF(COUNTIFS($A$6:$A$2005,A1088,$B$6:$B$2005,B1088)&gt;1,"DUPLICATE",""))</f>
        <v/>
      </c>
    </row>
    <row r="1089" spans="1:7">
      <c r="A1089" s="9"/>
      <c r="B1089" s="12"/>
      <c r="C1089" s="10"/>
      <c r="D1089" s="10"/>
      <c r="E1089" s="10"/>
      <c r="F1089" s="9"/>
      <c r="G1089" s="11">
        <f>IF(OR(A1089="",B1089=""),"",IF(COUNTIFS($A$6:$A$2005,A1089,$B$6:$B$2005,B1089)&gt;1,"DUPLICATE",""))</f>
        <v/>
      </c>
    </row>
    <row r="1090" spans="1:7">
      <c r="A1090" s="9"/>
      <c r="B1090" s="12"/>
      <c r="C1090" s="10"/>
      <c r="D1090" s="10"/>
      <c r="E1090" s="10"/>
      <c r="F1090" s="9"/>
      <c r="G1090" s="11">
        <f>IF(OR(A1090="",B1090=""),"",IF(COUNTIFS($A$6:$A$2005,A1090,$B$6:$B$2005,B1090)&gt;1,"DUPLICATE",""))</f>
        <v/>
      </c>
    </row>
    <row r="1091" spans="1:7">
      <c r="A1091" s="9"/>
      <c r="B1091" s="12"/>
      <c r="C1091" s="10"/>
      <c r="D1091" s="10"/>
      <c r="E1091" s="10"/>
      <c r="F1091" s="9"/>
      <c r="G1091" s="11">
        <f>IF(OR(A1091="",B1091=""),"",IF(COUNTIFS($A$6:$A$2005,A1091,$B$6:$B$2005,B1091)&gt;1,"DUPLICATE",""))</f>
        <v/>
      </c>
    </row>
    <row r="1092" spans="1:7">
      <c r="A1092" s="9"/>
      <c r="B1092" s="12"/>
      <c r="C1092" s="10"/>
      <c r="D1092" s="10"/>
      <c r="E1092" s="10"/>
      <c r="F1092" s="9"/>
      <c r="G1092" s="11">
        <f>IF(OR(A1092="",B1092=""),"",IF(COUNTIFS($A$6:$A$2005,A1092,$B$6:$B$2005,B1092)&gt;1,"DUPLICATE",""))</f>
        <v/>
      </c>
    </row>
    <row r="1093" spans="1:7">
      <c r="A1093" s="9"/>
      <c r="B1093" s="12"/>
      <c r="C1093" s="10"/>
      <c r="D1093" s="10"/>
      <c r="E1093" s="10"/>
      <c r="F1093" s="9"/>
      <c r="G1093" s="11">
        <f>IF(OR(A1093="",B1093=""),"",IF(COUNTIFS($A$6:$A$2005,A1093,$B$6:$B$2005,B1093)&gt;1,"DUPLICATE",""))</f>
        <v/>
      </c>
    </row>
    <row r="1094" spans="1:7">
      <c r="A1094" s="9"/>
      <c r="B1094" s="12"/>
      <c r="C1094" s="10"/>
      <c r="D1094" s="10"/>
      <c r="E1094" s="10"/>
      <c r="F1094" s="9"/>
      <c r="G1094" s="11">
        <f>IF(OR(A1094="",B1094=""),"",IF(COUNTIFS($A$6:$A$2005,A1094,$B$6:$B$2005,B1094)&gt;1,"DUPLICATE",""))</f>
        <v/>
      </c>
    </row>
    <row r="1095" spans="1:7">
      <c r="A1095" s="9"/>
      <c r="B1095" s="12"/>
      <c r="C1095" s="10"/>
      <c r="D1095" s="10"/>
      <c r="E1095" s="10"/>
      <c r="F1095" s="9"/>
      <c r="G1095" s="11">
        <f>IF(OR(A1095="",B1095=""),"",IF(COUNTIFS($A$6:$A$2005,A1095,$B$6:$B$2005,B1095)&gt;1,"DUPLICATE",""))</f>
        <v/>
      </c>
    </row>
    <row r="1096" spans="1:7">
      <c r="A1096" s="9"/>
      <c r="B1096" s="12"/>
      <c r="C1096" s="10"/>
      <c r="D1096" s="10"/>
      <c r="E1096" s="10"/>
      <c r="F1096" s="9"/>
      <c r="G1096" s="11">
        <f>IF(OR(A1096="",B1096=""),"",IF(COUNTIFS($A$6:$A$2005,A1096,$B$6:$B$2005,B1096)&gt;1,"DUPLICATE",""))</f>
        <v/>
      </c>
    </row>
    <row r="1097" spans="1:7">
      <c r="A1097" s="9"/>
      <c r="B1097" s="12"/>
      <c r="C1097" s="10"/>
      <c r="D1097" s="10"/>
      <c r="E1097" s="10"/>
      <c r="F1097" s="9"/>
      <c r="G1097" s="11">
        <f>IF(OR(A1097="",B1097=""),"",IF(COUNTIFS($A$6:$A$2005,A1097,$B$6:$B$2005,B1097)&gt;1,"DUPLICATE",""))</f>
        <v/>
      </c>
    </row>
    <row r="1098" spans="1:7">
      <c r="A1098" s="9"/>
      <c r="B1098" s="12"/>
      <c r="C1098" s="10"/>
      <c r="D1098" s="10"/>
      <c r="E1098" s="10"/>
      <c r="F1098" s="9"/>
      <c r="G1098" s="11">
        <f>IF(OR(A1098="",B1098=""),"",IF(COUNTIFS($A$6:$A$2005,A1098,$B$6:$B$2005,B1098)&gt;1,"DUPLICATE",""))</f>
        <v/>
      </c>
    </row>
    <row r="1099" spans="1:7">
      <c r="A1099" s="9"/>
      <c r="B1099" s="12"/>
      <c r="C1099" s="10"/>
      <c r="D1099" s="10"/>
      <c r="E1099" s="10"/>
      <c r="F1099" s="9"/>
      <c r="G1099" s="11">
        <f>IF(OR(A1099="",B1099=""),"",IF(COUNTIFS($A$6:$A$2005,A1099,$B$6:$B$2005,B1099)&gt;1,"DUPLICATE",""))</f>
        <v/>
      </c>
    </row>
    <row r="1100" spans="1:7">
      <c r="A1100" s="9"/>
      <c r="B1100" s="12"/>
      <c r="C1100" s="10"/>
      <c r="D1100" s="10"/>
      <c r="E1100" s="10"/>
      <c r="F1100" s="9"/>
      <c r="G1100" s="11">
        <f>IF(OR(A1100="",B1100=""),"",IF(COUNTIFS($A$6:$A$2005,A1100,$B$6:$B$2005,B1100)&gt;1,"DUPLICATE",""))</f>
        <v/>
      </c>
    </row>
    <row r="1101" spans="1:7">
      <c r="A1101" s="9"/>
      <c r="B1101" s="12"/>
      <c r="C1101" s="10"/>
      <c r="D1101" s="10"/>
      <c r="E1101" s="10"/>
      <c r="F1101" s="9"/>
      <c r="G1101" s="11">
        <f>IF(OR(A1101="",B1101=""),"",IF(COUNTIFS($A$6:$A$2005,A1101,$B$6:$B$2005,B1101)&gt;1,"DUPLICATE",""))</f>
        <v/>
      </c>
    </row>
    <row r="1102" spans="1:7">
      <c r="A1102" s="9"/>
      <c r="B1102" s="12"/>
      <c r="C1102" s="10"/>
      <c r="D1102" s="10"/>
      <c r="E1102" s="10"/>
      <c r="F1102" s="9"/>
      <c r="G1102" s="11">
        <f>IF(OR(A1102="",B1102=""),"",IF(COUNTIFS($A$6:$A$2005,A1102,$B$6:$B$2005,B1102)&gt;1,"DUPLICATE",""))</f>
        <v/>
      </c>
    </row>
    <row r="1103" spans="1:7">
      <c r="A1103" s="9"/>
      <c r="B1103" s="12"/>
      <c r="C1103" s="10"/>
      <c r="D1103" s="10"/>
      <c r="E1103" s="10"/>
      <c r="F1103" s="9"/>
      <c r="G1103" s="11">
        <f>IF(OR(A1103="",B1103=""),"",IF(COUNTIFS($A$6:$A$2005,A1103,$B$6:$B$2005,B1103)&gt;1,"DUPLICATE",""))</f>
        <v/>
      </c>
    </row>
    <row r="1104" spans="1:7">
      <c r="A1104" s="9"/>
      <c r="B1104" s="12"/>
      <c r="C1104" s="10"/>
      <c r="D1104" s="10"/>
      <c r="E1104" s="10"/>
      <c r="F1104" s="9"/>
      <c r="G1104" s="11">
        <f>IF(OR(A1104="",B1104=""),"",IF(COUNTIFS($A$6:$A$2005,A1104,$B$6:$B$2005,B1104)&gt;1,"DUPLICATE",""))</f>
        <v/>
      </c>
    </row>
    <row r="1105" spans="1:7">
      <c r="A1105" s="9"/>
      <c r="B1105" s="12"/>
      <c r="C1105" s="10"/>
      <c r="D1105" s="10"/>
      <c r="E1105" s="10"/>
      <c r="F1105" s="9"/>
      <c r="G1105" s="11">
        <f>IF(OR(A1105="",B1105=""),"",IF(COUNTIFS($A$6:$A$2005,A1105,$B$6:$B$2005,B1105)&gt;1,"DUPLICATE",""))</f>
        <v/>
      </c>
    </row>
    <row r="1106" spans="1:7">
      <c r="A1106" s="9"/>
      <c r="B1106" s="12"/>
      <c r="C1106" s="10"/>
      <c r="D1106" s="10"/>
      <c r="E1106" s="10"/>
      <c r="F1106" s="9"/>
      <c r="G1106" s="11">
        <f>IF(OR(A1106="",B1106=""),"",IF(COUNTIFS($A$6:$A$2005,A1106,$B$6:$B$2005,B1106)&gt;1,"DUPLICATE",""))</f>
        <v/>
      </c>
    </row>
    <row r="1107" spans="1:7">
      <c r="A1107" s="9"/>
      <c r="B1107" s="12"/>
      <c r="C1107" s="10"/>
      <c r="D1107" s="10"/>
      <c r="E1107" s="10"/>
      <c r="F1107" s="9"/>
      <c r="G1107" s="11">
        <f>IF(OR(A1107="",B1107=""),"",IF(COUNTIFS($A$6:$A$2005,A1107,$B$6:$B$2005,B1107)&gt;1,"DUPLICATE",""))</f>
        <v/>
      </c>
    </row>
    <row r="1108" spans="1:7">
      <c r="A1108" s="9"/>
      <c r="B1108" s="12"/>
      <c r="C1108" s="10"/>
      <c r="D1108" s="10"/>
      <c r="E1108" s="10"/>
      <c r="F1108" s="9"/>
      <c r="G1108" s="11">
        <f>IF(OR(A1108="",B1108=""),"",IF(COUNTIFS($A$6:$A$2005,A1108,$B$6:$B$2005,B1108)&gt;1,"DUPLICATE",""))</f>
        <v/>
      </c>
    </row>
    <row r="1109" spans="1:7">
      <c r="A1109" s="9"/>
      <c r="B1109" s="12"/>
      <c r="C1109" s="10"/>
      <c r="D1109" s="10"/>
      <c r="E1109" s="10"/>
      <c r="F1109" s="9"/>
      <c r="G1109" s="11">
        <f>IF(OR(A1109="",B1109=""),"",IF(COUNTIFS($A$6:$A$2005,A1109,$B$6:$B$2005,B1109)&gt;1,"DUPLICATE",""))</f>
        <v/>
      </c>
    </row>
    <row r="1110" spans="1:7">
      <c r="A1110" s="9"/>
      <c r="B1110" s="12"/>
      <c r="C1110" s="10"/>
      <c r="D1110" s="10"/>
      <c r="E1110" s="10"/>
      <c r="F1110" s="9"/>
      <c r="G1110" s="11">
        <f>IF(OR(A1110="",B1110=""),"",IF(COUNTIFS($A$6:$A$2005,A1110,$B$6:$B$2005,B1110)&gt;1,"DUPLICATE",""))</f>
        <v/>
      </c>
    </row>
    <row r="1111" spans="1:7">
      <c r="A1111" s="9"/>
      <c r="B1111" s="12"/>
      <c r="C1111" s="10"/>
      <c r="D1111" s="10"/>
      <c r="E1111" s="10"/>
      <c r="F1111" s="9"/>
      <c r="G1111" s="11">
        <f>IF(OR(A1111="",B1111=""),"",IF(COUNTIFS($A$6:$A$2005,A1111,$B$6:$B$2005,B1111)&gt;1,"DUPLICATE",""))</f>
        <v/>
      </c>
    </row>
    <row r="1112" spans="1:7">
      <c r="A1112" s="9"/>
      <c r="B1112" s="12"/>
      <c r="C1112" s="10"/>
      <c r="D1112" s="10"/>
      <c r="E1112" s="10"/>
      <c r="F1112" s="9"/>
      <c r="G1112" s="11">
        <f>IF(OR(A1112="",B1112=""),"",IF(COUNTIFS($A$6:$A$2005,A1112,$B$6:$B$2005,B1112)&gt;1,"DUPLICATE",""))</f>
        <v/>
      </c>
    </row>
    <row r="1113" spans="1:7">
      <c r="A1113" s="9"/>
      <c r="B1113" s="12"/>
      <c r="C1113" s="10"/>
      <c r="D1113" s="10"/>
      <c r="E1113" s="10"/>
      <c r="F1113" s="9"/>
      <c r="G1113" s="11">
        <f>IF(OR(A1113="",B1113=""),"",IF(COUNTIFS($A$6:$A$2005,A1113,$B$6:$B$2005,B1113)&gt;1,"DUPLICATE",""))</f>
        <v/>
      </c>
    </row>
    <row r="1114" spans="1:7">
      <c r="A1114" s="9"/>
      <c r="B1114" s="12"/>
      <c r="C1114" s="10"/>
      <c r="D1114" s="10"/>
      <c r="E1114" s="10"/>
      <c r="F1114" s="9"/>
      <c r="G1114" s="11">
        <f>IF(OR(A1114="",B1114=""),"",IF(COUNTIFS($A$6:$A$2005,A1114,$B$6:$B$2005,B1114)&gt;1,"DUPLICATE",""))</f>
        <v/>
      </c>
    </row>
    <row r="1115" spans="1:7">
      <c r="A1115" s="9"/>
      <c r="B1115" s="12"/>
      <c r="C1115" s="10"/>
      <c r="D1115" s="10"/>
      <c r="E1115" s="10"/>
      <c r="F1115" s="9"/>
      <c r="G1115" s="11">
        <f>IF(OR(A1115="",B1115=""),"",IF(COUNTIFS($A$6:$A$2005,A1115,$B$6:$B$2005,B1115)&gt;1,"DUPLICATE",""))</f>
        <v/>
      </c>
    </row>
    <row r="1116" spans="1:7">
      <c r="A1116" s="9"/>
      <c r="B1116" s="12"/>
      <c r="C1116" s="10"/>
      <c r="D1116" s="10"/>
      <c r="E1116" s="10"/>
      <c r="F1116" s="9"/>
      <c r="G1116" s="11">
        <f>IF(OR(A1116="",B1116=""),"",IF(COUNTIFS($A$6:$A$2005,A1116,$B$6:$B$2005,B1116)&gt;1,"DUPLICATE",""))</f>
        <v/>
      </c>
    </row>
    <row r="1117" spans="1:7">
      <c r="A1117" s="9"/>
      <c r="B1117" s="12"/>
      <c r="C1117" s="10"/>
      <c r="D1117" s="10"/>
      <c r="E1117" s="10"/>
      <c r="F1117" s="9"/>
      <c r="G1117" s="11">
        <f>IF(OR(A1117="",B1117=""),"",IF(COUNTIFS($A$6:$A$2005,A1117,$B$6:$B$2005,B1117)&gt;1,"DUPLICATE",""))</f>
        <v/>
      </c>
    </row>
    <row r="1118" spans="1:7">
      <c r="A1118" s="9"/>
      <c r="B1118" s="12"/>
      <c r="C1118" s="10"/>
      <c r="D1118" s="10"/>
      <c r="E1118" s="10"/>
      <c r="F1118" s="9"/>
      <c r="G1118" s="11">
        <f>IF(OR(A1118="",B1118=""),"",IF(COUNTIFS($A$6:$A$2005,A1118,$B$6:$B$2005,B1118)&gt;1,"DUPLICATE",""))</f>
        <v/>
      </c>
    </row>
    <row r="1119" spans="1:7">
      <c r="A1119" s="9"/>
      <c r="B1119" s="12"/>
      <c r="C1119" s="10"/>
      <c r="D1119" s="10"/>
      <c r="E1119" s="10"/>
      <c r="F1119" s="9"/>
      <c r="G1119" s="11">
        <f>IF(OR(A1119="",B1119=""),"",IF(COUNTIFS($A$6:$A$2005,A1119,$B$6:$B$2005,B1119)&gt;1,"DUPLICATE",""))</f>
        <v/>
      </c>
    </row>
    <row r="1120" spans="1:7">
      <c r="A1120" s="9"/>
      <c r="B1120" s="12"/>
      <c r="C1120" s="10"/>
      <c r="D1120" s="10"/>
      <c r="E1120" s="10"/>
      <c r="F1120" s="9"/>
      <c r="G1120" s="11">
        <f>IF(OR(A1120="",B1120=""),"",IF(COUNTIFS($A$6:$A$2005,A1120,$B$6:$B$2005,B1120)&gt;1,"DUPLICATE",""))</f>
        <v/>
      </c>
    </row>
    <row r="1121" spans="1:7">
      <c r="A1121" s="9"/>
      <c r="B1121" s="12"/>
      <c r="C1121" s="10"/>
      <c r="D1121" s="10"/>
      <c r="E1121" s="10"/>
      <c r="F1121" s="9"/>
      <c r="G1121" s="11">
        <f>IF(OR(A1121="",B1121=""),"",IF(COUNTIFS($A$6:$A$2005,A1121,$B$6:$B$2005,B1121)&gt;1,"DUPLICATE",""))</f>
        <v/>
      </c>
    </row>
    <row r="1122" spans="1:7">
      <c r="A1122" s="9"/>
      <c r="B1122" s="12"/>
      <c r="C1122" s="10"/>
      <c r="D1122" s="10"/>
      <c r="E1122" s="10"/>
      <c r="F1122" s="9"/>
      <c r="G1122" s="11">
        <f>IF(OR(A1122="",B1122=""),"",IF(COUNTIFS($A$6:$A$2005,A1122,$B$6:$B$2005,B1122)&gt;1,"DUPLICATE",""))</f>
        <v/>
      </c>
    </row>
    <row r="1123" spans="1:7">
      <c r="A1123" s="9"/>
      <c r="B1123" s="12"/>
      <c r="C1123" s="10"/>
      <c r="D1123" s="10"/>
      <c r="E1123" s="10"/>
      <c r="F1123" s="9"/>
      <c r="G1123" s="11">
        <f>IF(OR(A1123="",B1123=""),"",IF(COUNTIFS($A$6:$A$2005,A1123,$B$6:$B$2005,B1123)&gt;1,"DUPLICATE",""))</f>
        <v/>
      </c>
    </row>
    <row r="1124" spans="1:7">
      <c r="A1124" s="9"/>
      <c r="B1124" s="12"/>
      <c r="C1124" s="10"/>
      <c r="D1124" s="10"/>
      <c r="E1124" s="10"/>
      <c r="F1124" s="9"/>
      <c r="G1124" s="11">
        <f>IF(OR(A1124="",B1124=""),"",IF(COUNTIFS($A$6:$A$2005,A1124,$B$6:$B$2005,B1124)&gt;1,"DUPLICATE",""))</f>
        <v/>
      </c>
    </row>
    <row r="1125" spans="1:7">
      <c r="A1125" s="9"/>
      <c r="B1125" s="12"/>
      <c r="C1125" s="10"/>
      <c r="D1125" s="10"/>
      <c r="E1125" s="10"/>
      <c r="F1125" s="9"/>
      <c r="G1125" s="11">
        <f>IF(OR(A1125="",B1125=""),"",IF(COUNTIFS($A$6:$A$2005,A1125,$B$6:$B$2005,B1125)&gt;1,"DUPLICATE",""))</f>
        <v/>
      </c>
    </row>
    <row r="1126" spans="1:7">
      <c r="A1126" s="9"/>
      <c r="B1126" s="12"/>
      <c r="C1126" s="10"/>
      <c r="D1126" s="10"/>
      <c r="E1126" s="10"/>
      <c r="F1126" s="9"/>
      <c r="G1126" s="11">
        <f>IF(OR(A1126="",B1126=""),"",IF(COUNTIFS($A$6:$A$2005,A1126,$B$6:$B$2005,B1126)&gt;1,"DUPLICATE",""))</f>
        <v/>
      </c>
    </row>
    <row r="1127" spans="1:7">
      <c r="A1127" s="9"/>
      <c r="B1127" s="12"/>
      <c r="C1127" s="10"/>
      <c r="D1127" s="10"/>
      <c r="E1127" s="10"/>
      <c r="F1127" s="9"/>
      <c r="G1127" s="11">
        <f>IF(OR(A1127="",B1127=""),"",IF(COUNTIFS($A$6:$A$2005,A1127,$B$6:$B$2005,B1127)&gt;1,"DUPLICATE",""))</f>
        <v/>
      </c>
    </row>
    <row r="1128" spans="1:7">
      <c r="A1128" s="9"/>
      <c r="B1128" s="12"/>
      <c r="C1128" s="10"/>
      <c r="D1128" s="10"/>
      <c r="E1128" s="10"/>
      <c r="F1128" s="9"/>
      <c r="G1128" s="11">
        <f>IF(OR(A1128="",B1128=""),"",IF(COUNTIFS($A$6:$A$2005,A1128,$B$6:$B$2005,B1128)&gt;1,"DUPLICATE",""))</f>
        <v/>
      </c>
    </row>
    <row r="1129" spans="1:7">
      <c r="A1129" s="9"/>
      <c r="B1129" s="12"/>
      <c r="C1129" s="10"/>
      <c r="D1129" s="10"/>
      <c r="E1129" s="10"/>
      <c r="F1129" s="9"/>
      <c r="G1129" s="11">
        <f>IF(OR(A1129="",B1129=""),"",IF(COUNTIFS($A$6:$A$2005,A1129,$B$6:$B$2005,B1129)&gt;1,"DUPLICATE",""))</f>
        <v/>
      </c>
    </row>
    <row r="1130" spans="1:7">
      <c r="A1130" s="9"/>
      <c r="B1130" s="12"/>
      <c r="C1130" s="10"/>
      <c r="D1130" s="10"/>
      <c r="E1130" s="10"/>
      <c r="F1130" s="9"/>
      <c r="G1130" s="11">
        <f>IF(OR(A1130="",B1130=""),"",IF(COUNTIFS($A$6:$A$2005,A1130,$B$6:$B$2005,B1130)&gt;1,"DUPLICATE",""))</f>
        <v/>
      </c>
    </row>
    <row r="1131" spans="1:7">
      <c r="A1131" s="9"/>
      <c r="B1131" s="12"/>
      <c r="C1131" s="10"/>
      <c r="D1131" s="10"/>
      <c r="E1131" s="10"/>
      <c r="F1131" s="9"/>
      <c r="G1131" s="11">
        <f>IF(OR(A1131="",B1131=""),"",IF(COUNTIFS($A$6:$A$2005,A1131,$B$6:$B$2005,B1131)&gt;1,"DUPLICATE",""))</f>
        <v/>
      </c>
    </row>
    <row r="1132" spans="1:7">
      <c r="A1132" s="9"/>
      <c r="B1132" s="12"/>
      <c r="C1132" s="10"/>
      <c r="D1132" s="10"/>
      <c r="E1132" s="10"/>
      <c r="F1132" s="9"/>
      <c r="G1132" s="11">
        <f>IF(OR(A1132="",B1132=""),"",IF(COUNTIFS($A$6:$A$2005,A1132,$B$6:$B$2005,B1132)&gt;1,"DUPLICATE",""))</f>
        <v/>
      </c>
    </row>
    <row r="1133" spans="1:7">
      <c r="A1133" s="9"/>
      <c r="B1133" s="12"/>
      <c r="C1133" s="10"/>
      <c r="D1133" s="10"/>
      <c r="E1133" s="10"/>
      <c r="F1133" s="9"/>
      <c r="G1133" s="11">
        <f>IF(OR(A1133="",B1133=""),"",IF(COUNTIFS($A$6:$A$2005,A1133,$B$6:$B$2005,B1133)&gt;1,"DUPLICATE",""))</f>
        <v/>
      </c>
    </row>
    <row r="1134" spans="1:7">
      <c r="A1134" s="9"/>
      <c r="B1134" s="12"/>
      <c r="C1134" s="10"/>
      <c r="D1134" s="10"/>
      <c r="E1134" s="10"/>
      <c r="F1134" s="9"/>
      <c r="G1134" s="11">
        <f>IF(OR(A1134="",B1134=""),"",IF(COUNTIFS($A$6:$A$2005,A1134,$B$6:$B$2005,B1134)&gt;1,"DUPLICATE",""))</f>
        <v/>
      </c>
    </row>
    <row r="1135" spans="1:7">
      <c r="A1135" s="9"/>
      <c r="B1135" s="12"/>
      <c r="C1135" s="10"/>
      <c r="D1135" s="10"/>
      <c r="E1135" s="10"/>
      <c r="F1135" s="9"/>
      <c r="G1135" s="11">
        <f>IF(OR(A1135="",B1135=""),"",IF(COUNTIFS($A$6:$A$2005,A1135,$B$6:$B$2005,B1135)&gt;1,"DUPLICATE",""))</f>
        <v/>
      </c>
    </row>
    <row r="1136" spans="1:7">
      <c r="A1136" s="9"/>
      <c r="B1136" s="12"/>
      <c r="C1136" s="10"/>
      <c r="D1136" s="10"/>
      <c r="E1136" s="10"/>
      <c r="F1136" s="9"/>
      <c r="G1136" s="11">
        <f>IF(OR(A1136="",B1136=""),"",IF(COUNTIFS($A$6:$A$2005,A1136,$B$6:$B$2005,B1136)&gt;1,"DUPLICATE",""))</f>
        <v/>
      </c>
    </row>
    <row r="1137" spans="1:7">
      <c r="A1137" s="9"/>
      <c r="B1137" s="12"/>
      <c r="C1137" s="10"/>
      <c r="D1137" s="10"/>
      <c r="E1137" s="10"/>
      <c r="F1137" s="9"/>
      <c r="G1137" s="11">
        <f>IF(OR(A1137="",B1137=""),"",IF(COUNTIFS($A$6:$A$2005,A1137,$B$6:$B$2005,B1137)&gt;1,"DUPLICATE",""))</f>
        <v/>
      </c>
    </row>
    <row r="1138" spans="1:7">
      <c r="A1138" s="9"/>
      <c r="B1138" s="12"/>
      <c r="C1138" s="10"/>
      <c r="D1138" s="10"/>
      <c r="E1138" s="10"/>
      <c r="F1138" s="9"/>
      <c r="G1138" s="11">
        <f>IF(OR(A1138="",B1138=""),"",IF(COUNTIFS($A$6:$A$2005,A1138,$B$6:$B$2005,B1138)&gt;1,"DUPLICATE",""))</f>
        <v/>
      </c>
    </row>
    <row r="1139" spans="1:7">
      <c r="A1139" s="9"/>
      <c r="B1139" s="12"/>
      <c r="C1139" s="10"/>
      <c r="D1139" s="10"/>
      <c r="E1139" s="10"/>
      <c r="F1139" s="9"/>
      <c r="G1139" s="11">
        <f>IF(OR(A1139="",B1139=""),"",IF(COUNTIFS($A$6:$A$2005,A1139,$B$6:$B$2005,B1139)&gt;1,"DUPLICATE",""))</f>
        <v/>
      </c>
    </row>
    <row r="1140" spans="1:7">
      <c r="A1140" s="9"/>
      <c r="B1140" s="12"/>
      <c r="C1140" s="10"/>
      <c r="D1140" s="10"/>
      <c r="E1140" s="10"/>
      <c r="F1140" s="9"/>
      <c r="G1140" s="11">
        <f>IF(OR(A1140="",B1140=""),"",IF(COUNTIFS($A$6:$A$2005,A1140,$B$6:$B$2005,B1140)&gt;1,"DUPLICATE",""))</f>
        <v/>
      </c>
    </row>
    <row r="1141" spans="1:7">
      <c r="A1141" s="9"/>
      <c r="B1141" s="12"/>
      <c r="C1141" s="10"/>
      <c r="D1141" s="10"/>
      <c r="E1141" s="10"/>
      <c r="F1141" s="9"/>
      <c r="G1141" s="11">
        <f>IF(OR(A1141="",B1141=""),"",IF(COUNTIFS($A$6:$A$2005,A1141,$B$6:$B$2005,B1141)&gt;1,"DUPLICATE",""))</f>
        <v/>
      </c>
    </row>
    <row r="1142" spans="1:7">
      <c r="A1142" s="9"/>
      <c r="B1142" s="12"/>
      <c r="C1142" s="10"/>
      <c r="D1142" s="10"/>
      <c r="E1142" s="10"/>
      <c r="F1142" s="9"/>
      <c r="G1142" s="11">
        <f>IF(OR(A1142="",B1142=""),"",IF(COUNTIFS($A$6:$A$2005,A1142,$B$6:$B$2005,B1142)&gt;1,"DUPLICATE",""))</f>
        <v/>
      </c>
    </row>
    <row r="1143" spans="1:7">
      <c r="A1143" s="9"/>
      <c r="B1143" s="12"/>
      <c r="C1143" s="10"/>
      <c r="D1143" s="10"/>
      <c r="E1143" s="10"/>
      <c r="F1143" s="9"/>
      <c r="G1143" s="11">
        <f>IF(OR(A1143="",B1143=""),"",IF(COUNTIFS($A$6:$A$2005,A1143,$B$6:$B$2005,B1143)&gt;1,"DUPLICATE",""))</f>
        <v/>
      </c>
    </row>
    <row r="1144" spans="1:7">
      <c r="A1144" s="9"/>
      <c r="B1144" s="12"/>
      <c r="C1144" s="10"/>
      <c r="D1144" s="10"/>
      <c r="E1144" s="10"/>
      <c r="F1144" s="9"/>
      <c r="G1144" s="11">
        <f>IF(OR(A1144="",B1144=""),"",IF(COUNTIFS($A$6:$A$2005,A1144,$B$6:$B$2005,B1144)&gt;1,"DUPLICATE",""))</f>
        <v/>
      </c>
    </row>
    <row r="1145" spans="1:7">
      <c r="A1145" s="9"/>
      <c r="B1145" s="12"/>
      <c r="C1145" s="10"/>
      <c r="D1145" s="10"/>
      <c r="E1145" s="10"/>
      <c r="F1145" s="9"/>
      <c r="G1145" s="11">
        <f>IF(OR(A1145="",B1145=""),"",IF(COUNTIFS($A$6:$A$2005,A1145,$B$6:$B$2005,B1145)&gt;1,"DUPLICATE",""))</f>
        <v/>
      </c>
    </row>
    <row r="1146" spans="1:7">
      <c r="A1146" s="9"/>
      <c r="B1146" s="12"/>
      <c r="C1146" s="10"/>
      <c r="D1146" s="10"/>
      <c r="E1146" s="10"/>
      <c r="F1146" s="9"/>
      <c r="G1146" s="11">
        <f>IF(OR(A1146="",B1146=""),"",IF(COUNTIFS($A$6:$A$2005,A1146,$B$6:$B$2005,B1146)&gt;1,"DUPLICATE",""))</f>
        <v/>
      </c>
    </row>
    <row r="1147" spans="1:7">
      <c r="A1147" s="9"/>
      <c r="B1147" s="12"/>
      <c r="C1147" s="10"/>
      <c r="D1147" s="10"/>
      <c r="E1147" s="10"/>
      <c r="F1147" s="9"/>
      <c r="G1147" s="11">
        <f>IF(OR(A1147="",B1147=""),"",IF(COUNTIFS($A$6:$A$2005,A1147,$B$6:$B$2005,B1147)&gt;1,"DUPLICATE",""))</f>
        <v/>
      </c>
    </row>
    <row r="1148" spans="1:7">
      <c r="A1148" s="9"/>
      <c r="B1148" s="12"/>
      <c r="C1148" s="10"/>
      <c r="D1148" s="10"/>
      <c r="E1148" s="10"/>
      <c r="F1148" s="9"/>
      <c r="G1148" s="11">
        <f>IF(OR(A1148="",B1148=""),"",IF(COUNTIFS($A$6:$A$2005,A1148,$B$6:$B$2005,B1148)&gt;1,"DUPLICATE",""))</f>
        <v/>
      </c>
    </row>
    <row r="1149" spans="1:7">
      <c r="A1149" s="9"/>
      <c r="B1149" s="12"/>
      <c r="C1149" s="10"/>
      <c r="D1149" s="10"/>
      <c r="E1149" s="10"/>
      <c r="F1149" s="9"/>
      <c r="G1149" s="11">
        <f>IF(OR(A1149="",B1149=""),"",IF(COUNTIFS($A$6:$A$2005,A1149,$B$6:$B$2005,B1149)&gt;1,"DUPLICATE",""))</f>
        <v/>
      </c>
    </row>
    <row r="1150" spans="1:7">
      <c r="A1150" s="9"/>
      <c r="B1150" s="12"/>
      <c r="C1150" s="10"/>
      <c r="D1150" s="10"/>
      <c r="E1150" s="10"/>
      <c r="F1150" s="9"/>
      <c r="G1150" s="11">
        <f>IF(OR(A1150="",B1150=""),"",IF(COUNTIFS($A$6:$A$2005,A1150,$B$6:$B$2005,B1150)&gt;1,"DUPLICATE",""))</f>
        <v/>
      </c>
    </row>
    <row r="1151" spans="1:7">
      <c r="A1151" s="9"/>
      <c r="B1151" s="12"/>
      <c r="C1151" s="10"/>
      <c r="D1151" s="10"/>
      <c r="E1151" s="10"/>
      <c r="F1151" s="9"/>
      <c r="G1151" s="11">
        <f>IF(OR(A1151="",B1151=""),"",IF(COUNTIFS($A$6:$A$2005,A1151,$B$6:$B$2005,B1151)&gt;1,"DUPLICATE",""))</f>
        <v/>
      </c>
    </row>
    <row r="1152" spans="1:7">
      <c r="A1152" s="9"/>
      <c r="B1152" s="12"/>
      <c r="C1152" s="10"/>
      <c r="D1152" s="10"/>
      <c r="E1152" s="10"/>
      <c r="F1152" s="9"/>
      <c r="G1152" s="11">
        <f>IF(OR(A1152="",B1152=""),"",IF(COUNTIFS($A$6:$A$2005,A1152,$B$6:$B$2005,B1152)&gt;1,"DUPLICATE",""))</f>
        <v/>
      </c>
    </row>
    <row r="1153" spans="1:7">
      <c r="A1153" s="9"/>
      <c r="B1153" s="12"/>
      <c r="C1153" s="10"/>
      <c r="D1153" s="10"/>
      <c r="E1153" s="10"/>
      <c r="F1153" s="9"/>
      <c r="G1153" s="11">
        <f>IF(OR(A1153="",B1153=""),"",IF(COUNTIFS($A$6:$A$2005,A1153,$B$6:$B$2005,B1153)&gt;1,"DUPLICATE",""))</f>
        <v/>
      </c>
    </row>
    <row r="1154" spans="1:7">
      <c r="A1154" s="9"/>
      <c r="B1154" s="12"/>
      <c r="C1154" s="10"/>
      <c r="D1154" s="10"/>
      <c r="E1154" s="10"/>
      <c r="F1154" s="9"/>
      <c r="G1154" s="11">
        <f>IF(OR(A1154="",B1154=""),"",IF(COUNTIFS($A$6:$A$2005,A1154,$B$6:$B$2005,B1154)&gt;1,"DUPLICATE",""))</f>
        <v/>
      </c>
    </row>
    <row r="1155" spans="1:7">
      <c r="A1155" s="9"/>
      <c r="B1155" s="12"/>
      <c r="C1155" s="10"/>
      <c r="D1155" s="10"/>
      <c r="E1155" s="10"/>
      <c r="F1155" s="9"/>
      <c r="G1155" s="11">
        <f>IF(OR(A1155="",B1155=""),"",IF(COUNTIFS($A$6:$A$2005,A1155,$B$6:$B$2005,B1155)&gt;1,"DUPLICATE",""))</f>
        <v/>
      </c>
    </row>
    <row r="1156" spans="1:7">
      <c r="A1156" s="9"/>
      <c r="B1156" s="12"/>
      <c r="C1156" s="10"/>
      <c r="D1156" s="10"/>
      <c r="E1156" s="10"/>
      <c r="F1156" s="9"/>
      <c r="G1156" s="11">
        <f>IF(OR(A1156="",B1156=""),"",IF(COUNTIFS($A$6:$A$2005,A1156,$B$6:$B$2005,B1156)&gt;1,"DUPLICATE",""))</f>
        <v/>
      </c>
    </row>
    <row r="1157" spans="1:7">
      <c r="A1157" s="9"/>
      <c r="B1157" s="12"/>
      <c r="C1157" s="10"/>
      <c r="D1157" s="10"/>
      <c r="E1157" s="10"/>
      <c r="F1157" s="9"/>
      <c r="G1157" s="11">
        <f>IF(OR(A1157="",B1157=""),"",IF(COUNTIFS($A$6:$A$2005,A1157,$B$6:$B$2005,B1157)&gt;1,"DUPLICATE",""))</f>
        <v/>
      </c>
    </row>
    <row r="1158" spans="1:7">
      <c r="A1158" s="9"/>
      <c r="B1158" s="12"/>
      <c r="C1158" s="10"/>
      <c r="D1158" s="10"/>
      <c r="E1158" s="10"/>
      <c r="F1158" s="9"/>
      <c r="G1158" s="11">
        <f>IF(OR(A1158="",B1158=""),"",IF(COUNTIFS($A$6:$A$2005,A1158,$B$6:$B$2005,B1158)&gt;1,"DUPLICATE",""))</f>
        <v/>
      </c>
    </row>
    <row r="1159" spans="1:7">
      <c r="A1159" s="9"/>
      <c r="B1159" s="12"/>
      <c r="C1159" s="10"/>
      <c r="D1159" s="10"/>
      <c r="E1159" s="10"/>
      <c r="F1159" s="9"/>
      <c r="G1159" s="11">
        <f>IF(OR(A1159="",B1159=""),"",IF(COUNTIFS($A$6:$A$2005,A1159,$B$6:$B$2005,B1159)&gt;1,"DUPLICATE",""))</f>
        <v/>
      </c>
    </row>
    <row r="1160" spans="1:7">
      <c r="A1160" s="9"/>
      <c r="B1160" s="12"/>
      <c r="C1160" s="10"/>
      <c r="D1160" s="10"/>
      <c r="E1160" s="10"/>
      <c r="F1160" s="9"/>
      <c r="G1160" s="11">
        <f>IF(OR(A1160="",B1160=""),"",IF(COUNTIFS($A$6:$A$2005,A1160,$B$6:$B$2005,B1160)&gt;1,"DUPLICATE",""))</f>
        <v/>
      </c>
    </row>
    <row r="1161" spans="1:7">
      <c r="A1161" s="9"/>
      <c r="B1161" s="12"/>
      <c r="C1161" s="10"/>
      <c r="D1161" s="10"/>
      <c r="E1161" s="10"/>
      <c r="F1161" s="9"/>
      <c r="G1161" s="11">
        <f>IF(OR(A1161="",B1161=""),"",IF(COUNTIFS($A$6:$A$2005,A1161,$B$6:$B$2005,B1161)&gt;1,"DUPLICATE",""))</f>
        <v/>
      </c>
    </row>
    <row r="1162" spans="1:7">
      <c r="A1162" s="9"/>
      <c r="B1162" s="12"/>
      <c r="C1162" s="10"/>
      <c r="D1162" s="10"/>
      <c r="E1162" s="10"/>
      <c r="F1162" s="9"/>
      <c r="G1162" s="11">
        <f>IF(OR(A1162="",B1162=""),"",IF(COUNTIFS($A$6:$A$2005,A1162,$B$6:$B$2005,B1162)&gt;1,"DUPLICATE",""))</f>
        <v/>
      </c>
    </row>
    <row r="1163" spans="1:7">
      <c r="A1163" s="9"/>
      <c r="B1163" s="12"/>
      <c r="C1163" s="10"/>
      <c r="D1163" s="10"/>
      <c r="E1163" s="10"/>
      <c r="F1163" s="9"/>
      <c r="G1163" s="11">
        <f>IF(OR(A1163="",B1163=""),"",IF(COUNTIFS($A$6:$A$2005,A1163,$B$6:$B$2005,B1163)&gt;1,"DUPLICATE",""))</f>
        <v/>
      </c>
    </row>
    <row r="1164" spans="1:7">
      <c r="A1164" s="9"/>
      <c r="B1164" s="12"/>
      <c r="C1164" s="10"/>
      <c r="D1164" s="10"/>
      <c r="E1164" s="10"/>
      <c r="F1164" s="9"/>
      <c r="G1164" s="11">
        <f>IF(OR(A1164="",B1164=""),"",IF(COUNTIFS($A$6:$A$2005,A1164,$B$6:$B$2005,B1164)&gt;1,"DUPLICATE",""))</f>
        <v/>
      </c>
    </row>
    <row r="1165" spans="1:7">
      <c r="A1165" s="9"/>
      <c r="B1165" s="12"/>
      <c r="C1165" s="10"/>
      <c r="D1165" s="10"/>
      <c r="E1165" s="10"/>
      <c r="F1165" s="9"/>
      <c r="G1165" s="11">
        <f>IF(OR(A1165="",B1165=""),"",IF(COUNTIFS($A$6:$A$2005,A1165,$B$6:$B$2005,B1165)&gt;1,"DUPLICATE",""))</f>
        <v/>
      </c>
    </row>
    <row r="1166" spans="1:7">
      <c r="A1166" s="9"/>
      <c r="B1166" s="12"/>
      <c r="C1166" s="10"/>
      <c r="D1166" s="10"/>
      <c r="E1166" s="10"/>
      <c r="F1166" s="9"/>
      <c r="G1166" s="11">
        <f>IF(OR(A1166="",B1166=""),"",IF(COUNTIFS($A$6:$A$2005,A1166,$B$6:$B$2005,B1166)&gt;1,"DUPLICATE",""))</f>
        <v/>
      </c>
    </row>
    <row r="1167" spans="1:7">
      <c r="A1167" s="9"/>
      <c r="B1167" s="12"/>
      <c r="C1167" s="10"/>
      <c r="D1167" s="10"/>
      <c r="E1167" s="10"/>
      <c r="F1167" s="9"/>
      <c r="G1167" s="11">
        <f>IF(OR(A1167="",B1167=""),"",IF(COUNTIFS($A$6:$A$2005,A1167,$B$6:$B$2005,B1167)&gt;1,"DUPLICATE",""))</f>
        <v/>
      </c>
    </row>
    <row r="1168" spans="1:7">
      <c r="A1168" s="9"/>
      <c r="B1168" s="12"/>
      <c r="C1168" s="10"/>
      <c r="D1168" s="10"/>
      <c r="E1168" s="10"/>
      <c r="F1168" s="9"/>
      <c r="G1168" s="11">
        <f>IF(OR(A1168="",B1168=""),"",IF(COUNTIFS($A$6:$A$2005,A1168,$B$6:$B$2005,B1168)&gt;1,"DUPLICATE",""))</f>
        <v/>
      </c>
    </row>
    <row r="1169" spans="1:7">
      <c r="A1169" s="9"/>
      <c r="B1169" s="12"/>
      <c r="C1169" s="10"/>
      <c r="D1169" s="10"/>
      <c r="E1169" s="10"/>
      <c r="F1169" s="9"/>
      <c r="G1169" s="11">
        <f>IF(OR(A1169="",B1169=""),"",IF(COUNTIFS($A$6:$A$2005,A1169,$B$6:$B$2005,B1169)&gt;1,"DUPLICATE",""))</f>
        <v/>
      </c>
    </row>
    <row r="1170" spans="1:7">
      <c r="A1170" s="9"/>
      <c r="B1170" s="12"/>
      <c r="C1170" s="10"/>
      <c r="D1170" s="10"/>
      <c r="E1170" s="10"/>
      <c r="F1170" s="9"/>
      <c r="G1170" s="11">
        <f>IF(OR(A1170="",B1170=""),"",IF(COUNTIFS($A$6:$A$2005,A1170,$B$6:$B$2005,B1170)&gt;1,"DUPLICATE",""))</f>
        <v/>
      </c>
    </row>
    <row r="1171" spans="1:7">
      <c r="A1171" s="9"/>
      <c r="B1171" s="12"/>
      <c r="C1171" s="10"/>
      <c r="D1171" s="10"/>
      <c r="E1171" s="10"/>
      <c r="F1171" s="9"/>
      <c r="G1171" s="11">
        <f>IF(OR(A1171="",B1171=""),"",IF(COUNTIFS($A$6:$A$2005,A1171,$B$6:$B$2005,B1171)&gt;1,"DUPLICATE",""))</f>
        <v/>
      </c>
    </row>
    <row r="1172" spans="1:7">
      <c r="A1172" s="9"/>
      <c r="B1172" s="12"/>
      <c r="C1172" s="10"/>
      <c r="D1172" s="10"/>
      <c r="E1172" s="10"/>
      <c r="F1172" s="9"/>
      <c r="G1172" s="11">
        <f>IF(OR(A1172="",B1172=""),"",IF(COUNTIFS($A$6:$A$2005,A1172,$B$6:$B$2005,B1172)&gt;1,"DUPLICATE",""))</f>
        <v/>
      </c>
    </row>
    <row r="1173" spans="1:7">
      <c r="A1173" s="9"/>
      <c r="B1173" s="12"/>
      <c r="C1173" s="10"/>
      <c r="D1173" s="10"/>
      <c r="E1173" s="10"/>
      <c r="F1173" s="9"/>
      <c r="G1173" s="11">
        <f>IF(OR(A1173="",B1173=""),"",IF(COUNTIFS($A$6:$A$2005,A1173,$B$6:$B$2005,B1173)&gt;1,"DUPLICATE",""))</f>
        <v/>
      </c>
    </row>
    <row r="1174" spans="1:7">
      <c r="A1174" s="9"/>
      <c r="B1174" s="12"/>
      <c r="C1174" s="10"/>
      <c r="D1174" s="10"/>
      <c r="E1174" s="10"/>
      <c r="F1174" s="9"/>
      <c r="G1174" s="11">
        <f>IF(OR(A1174="",B1174=""),"",IF(COUNTIFS($A$6:$A$2005,A1174,$B$6:$B$2005,B1174)&gt;1,"DUPLICATE",""))</f>
        <v/>
      </c>
    </row>
    <row r="1175" spans="1:7">
      <c r="A1175" s="9"/>
      <c r="B1175" s="12"/>
      <c r="C1175" s="10"/>
      <c r="D1175" s="10"/>
      <c r="E1175" s="10"/>
      <c r="F1175" s="9"/>
      <c r="G1175" s="11">
        <f>IF(OR(A1175="",B1175=""),"",IF(COUNTIFS($A$6:$A$2005,A1175,$B$6:$B$2005,B1175)&gt;1,"DUPLICATE",""))</f>
        <v/>
      </c>
    </row>
    <row r="1176" spans="1:7">
      <c r="A1176" s="9"/>
      <c r="B1176" s="12"/>
      <c r="C1176" s="10"/>
      <c r="D1176" s="10"/>
      <c r="E1176" s="10"/>
      <c r="F1176" s="9"/>
      <c r="G1176" s="11">
        <f>IF(OR(A1176="",B1176=""),"",IF(COUNTIFS($A$6:$A$2005,A1176,$B$6:$B$2005,B1176)&gt;1,"DUPLICATE",""))</f>
        <v/>
      </c>
    </row>
    <row r="1177" spans="1:7">
      <c r="A1177" s="9"/>
      <c r="B1177" s="12"/>
      <c r="C1177" s="10"/>
      <c r="D1177" s="10"/>
      <c r="E1177" s="10"/>
      <c r="F1177" s="9"/>
      <c r="G1177" s="11">
        <f>IF(OR(A1177="",B1177=""),"",IF(COUNTIFS($A$6:$A$2005,A1177,$B$6:$B$2005,B1177)&gt;1,"DUPLICATE",""))</f>
        <v/>
      </c>
    </row>
    <row r="1178" spans="1:7">
      <c r="A1178" s="9"/>
      <c r="B1178" s="12"/>
      <c r="C1178" s="10"/>
      <c r="D1178" s="10"/>
      <c r="E1178" s="10"/>
      <c r="F1178" s="9"/>
      <c r="G1178" s="11">
        <f>IF(OR(A1178="",B1178=""),"",IF(COUNTIFS($A$6:$A$2005,A1178,$B$6:$B$2005,B1178)&gt;1,"DUPLICATE",""))</f>
        <v/>
      </c>
    </row>
    <row r="1179" spans="1:7">
      <c r="A1179" s="9"/>
      <c r="B1179" s="12"/>
      <c r="C1179" s="10"/>
      <c r="D1179" s="10"/>
      <c r="E1179" s="10"/>
      <c r="F1179" s="9"/>
      <c r="G1179" s="11">
        <f>IF(OR(A1179="",B1179=""),"",IF(COUNTIFS($A$6:$A$2005,A1179,$B$6:$B$2005,B1179)&gt;1,"DUPLICATE",""))</f>
        <v/>
      </c>
    </row>
    <row r="1180" spans="1:7">
      <c r="A1180" s="9"/>
      <c r="B1180" s="12"/>
      <c r="C1180" s="10"/>
      <c r="D1180" s="10"/>
      <c r="E1180" s="10"/>
      <c r="F1180" s="9"/>
      <c r="G1180" s="11">
        <f>IF(OR(A1180="",B1180=""),"",IF(COUNTIFS($A$6:$A$2005,A1180,$B$6:$B$2005,B1180)&gt;1,"DUPLICATE",""))</f>
        <v/>
      </c>
    </row>
    <row r="1181" spans="1:7">
      <c r="A1181" s="9"/>
      <c r="B1181" s="12"/>
      <c r="C1181" s="10"/>
      <c r="D1181" s="10"/>
      <c r="E1181" s="10"/>
      <c r="F1181" s="9"/>
      <c r="G1181" s="11">
        <f>IF(OR(A1181="",B1181=""),"",IF(COUNTIFS($A$6:$A$2005,A1181,$B$6:$B$2005,B1181)&gt;1,"DUPLICATE",""))</f>
        <v/>
      </c>
    </row>
    <row r="1182" spans="1:7">
      <c r="A1182" s="9"/>
      <c r="B1182" s="12"/>
      <c r="C1182" s="10"/>
      <c r="D1182" s="10"/>
      <c r="E1182" s="10"/>
      <c r="F1182" s="9"/>
      <c r="G1182" s="11">
        <f>IF(OR(A1182="",B1182=""),"",IF(COUNTIFS($A$6:$A$2005,A1182,$B$6:$B$2005,B1182)&gt;1,"DUPLICATE",""))</f>
        <v/>
      </c>
    </row>
    <row r="1183" spans="1:7">
      <c r="A1183" s="9"/>
      <c r="B1183" s="12"/>
      <c r="C1183" s="10"/>
      <c r="D1183" s="10"/>
      <c r="E1183" s="10"/>
      <c r="F1183" s="9"/>
      <c r="G1183" s="11">
        <f>IF(OR(A1183="",B1183=""),"",IF(COUNTIFS($A$6:$A$2005,A1183,$B$6:$B$2005,B1183)&gt;1,"DUPLICATE",""))</f>
        <v/>
      </c>
    </row>
    <row r="1184" spans="1:7">
      <c r="A1184" s="9"/>
      <c r="B1184" s="12"/>
      <c r="C1184" s="10"/>
      <c r="D1184" s="10"/>
      <c r="E1184" s="10"/>
      <c r="F1184" s="9"/>
      <c r="G1184" s="11">
        <f>IF(OR(A1184="",B1184=""),"",IF(COUNTIFS($A$6:$A$2005,A1184,$B$6:$B$2005,B1184)&gt;1,"DUPLICATE",""))</f>
        <v/>
      </c>
    </row>
    <row r="1185" spans="1:7">
      <c r="A1185" s="9"/>
      <c r="B1185" s="12"/>
      <c r="C1185" s="10"/>
      <c r="D1185" s="10"/>
      <c r="E1185" s="10"/>
      <c r="F1185" s="9"/>
      <c r="G1185" s="11">
        <f>IF(OR(A1185="",B1185=""),"",IF(COUNTIFS($A$6:$A$2005,A1185,$B$6:$B$2005,B1185)&gt;1,"DUPLICATE",""))</f>
        <v/>
      </c>
    </row>
    <row r="1186" spans="1:7">
      <c r="A1186" s="9"/>
      <c r="B1186" s="12"/>
      <c r="C1186" s="10"/>
      <c r="D1186" s="10"/>
      <c r="E1186" s="10"/>
      <c r="F1186" s="9"/>
      <c r="G1186" s="11">
        <f>IF(OR(A1186="",B1186=""),"",IF(COUNTIFS($A$6:$A$2005,A1186,$B$6:$B$2005,B1186)&gt;1,"DUPLICATE",""))</f>
        <v/>
      </c>
    </row>
    <row r="1187" spans="1:7">
      <c r="A1187" s="9"/>
      <c r="B1187" s="12"/>
      <c r="C1187" s="10"/>
      <c r="D1187" s="10"/>
      <c r="E1187" s="10"/>
      <c r="F1187" s="9"/>
      <c r="G1187" s="11">
        <f>IF(OR(A1187="",B1187=""),"",IF(COUNTIFS($A$6:$A$2005,A1187,$B$6:$B$2005,B1187)&gt;1,"DUPLICATE",""))</f>
        <v/>
      </c>
    </row>
    <row r="1188" spans="1:7">
      <c r="A1188" s="9"/>
      <c r="B1188" s="12"/>
      <c r="C1188" s="10"/>
      <c r="D1188" s="10"/>
      <c r="E1188" s="10"/>
      <c r="F1188" s="9"/>
      <c r="G1188" s="11">
        <f>IF(OR(A1188="",B1188=""),"",IF(COUNTIFS($A$6:$A$2005,A1188,$B$6:$B$2005,B1188)&gt;1,"DUPLICATE",""))</f>
        <v/>
      </c>
    </row>
    <row r="1189" spans="1:7">
      <c r="A1189" s="9"/>
      <c r="B1189" s="12"/>
      <c r="C1189" s="10"/>
      <c r="D1189" s="10"/>
      <c r="E1189" s="10"/>
      <c r="F1189" s="9"/>
      <c r="G1189" s="11">
        <f>IF(OR(A1189="",B1189=""),"",IF(COUNTIFS($A$6:$A$2005,A1189,$B$6:$B$2005,B1189)&gt;1,"DUPLICATE",""))</f>
        <v/>
      </c>
    </row>
    <row r="1190" spans="1:7">
      <c r="A1190" s="9"/>
      <c r="B1190" s="12"/>
      <c r="C1190" s="10"/>
      <c r="D1190" s="10"/>
      <c r="E1190" s="10"/>
      <c r="F1190" s="9"/>
      <c r="G1190" s="11">
        <f>IF(OR(A1190="",B1190=""),"",IF(COUNTIFS($A$6:$A$2005,A1190,$B$6:$B$2005,B1190)&gt;1,"DUPLICATE",""))</f>
        <v/>
      </c>
    </row>
    <row r="1191" spans="1:7">
      <c r="A1191" s="9"/>
      <c r="B1191" s="12"/>
      <c r="C1191" s="10"/>
      <c r="D1191" s="10"/>
      <c r="E1191" s="10"/>
      <c r="F1191" s="9"/>
      <c r="G1191" s="11">
        <f>IF(OR(A1191="",B1191=""),"",IF(COUNTIFS($A$6:$A$2005,A1191,$B$6:$B$2005,B1191)&gt;1,"DUPLICATE",""))</f>
        <v/>
      </c>
    </row>
    <row r="1192" spans="1:7">
      <c r="A1192" s="9"/>
      <c r="B1192" s="12"/>
      <c r="C1192" s="10"/>
      <c r="D1192" s="10"/>
      <c r="E1192" s="10"/>
      <c r="F1192" s="9"/>
      <c r="G1192" s="11">
        <f>IF(OR(A1192="",B1192=""),"",IF(COUNTIFS($A$6:$A$2005,A1192,$B$6:$B$2005,B1192)&gt;1,"DUPLICATE",""))</f>
        <v/>
      </c>
    </row>
    <row r="1193" spans="1:7">
      <c r="A1193" s="9"/>
      <c r="B1193" s="12"/>
      <c r="C1193" s="10"/>
      <c r="D1193" s="10"/>
      <c r="E1193" s="10"/>
      <c r="F1193" s="9"/>
      <c r="G1193" s="11">
        <f>IF(OR(A1193="",B1193=""),"",IF(COUNTIFS($A$6:$A$2005,A1193,$B$6:$B$2005,B1193)&gt;1,"DUPLICATE",""))</f>
        <v/>
      </c>
    </row>
    <row r="1194" spans="1:7">
      <c r="A1194" s="9"/>
      <c r="B1194" s="12"/>
      <c r="C1194" s="10"/>
      <c r="D1194" s="10"/>
      <c r="E1194" s="10"/>
      <c r="F1194" s="9"/>
      <c r="G1194" s="11">
        <f>IF(OR(A1194="",B1194=""),"",IF(COUNTIFS($A$6:$A$2005,A1194,$B$6:$B$2005,B1194)&gt;1,"DUPLICATE",""))</f>
        <v/>
      </c>
    </row>
    <row r="1195" spans="1:7">
      <c r="A1195" s="9"/>
      <c r="B1195" s="12"/>
      <c r="C1195" s="10"/>
      <c r="D1195" s="10"/>
      <c r="E1195" s="10"/>
      <c r="F1195" s="9"/>
      <c r="G1195" s="11">
        <f>IF(OR(A1195="",B1195=""),"",IF(COUNTIFS($A$6:$A$2005,A1195,$B$6:$B$2005,B1195)&gt;1,"DUPLICATE",""))</f>
        <v/>
      </c>
    </row>
    <row r="1196" spans="1:7">
      <c r="A1196" s="9"/>
      <c r="B1196" s="12"/>
      <c r="C1196" s="10"/>
      <c r="D1196" s="10"/>
      <c r="E1196" s="10"/>
      <c r="F1196" s="9"/>
      <c r="G1196" s="11">
        <f>IF(OR(A1196="",B1196=""),"",IF(COUNTIFS($A$6:$A$2005,A1196,$B$6:$B$2005,B1196)&gt;1,"DUPLICATE",""))</f>
        <v/>
      </c>
    </row>
    <row r="1197" spans="1:7">
      <c r="A1197" s="9"/>
      <c r="B1197" s="12"/>
      <c r="C1197" s="10"/>
      <c r="D1197" s="10"/>
      <c r="E1197" s="10"/>
      <c r="F1197" s="9"/>
      <c r="G1197" s="11">
        <f>IF(OR(A1197="",B1197=""),"",IF(COUNTIFS($A$6:$A$2005,A1197,$B$6:$B$2005,B1197)&gt;1,"DUPLICATE",""))</f>
        <v/>
      </c>
    </row>
    <row r="1198" spans="1:7">
      <c r="A1198" s="9"/>
      <c r="B1198" s="12"/>
      <c r="C1198" s="10"/>
      <c r="D1198" s="10"/>
      <c r="E1198" s="10"/>
      <c r="F1198" s="9"/>
      <c r="G1198" s="11">
        <f>IF(OR(A1198="",B1198=""),"",IF(COUNTIFS($A$6:$A$2005,A1198,$B$6:$B$2005,B1198)&gt;1,"DUPLICATE",""))</f>
        <v/>
      </c>
    </row>
    <row r="1199" spans="1:7">
      <c r="A1199" s="9"/>
      <c r="B1199" s="12"/>
      <c r="C1199" s="10"/>
      <c r="D1199" s="10"/>
      <c r="E1199" s="10"/>
      <c r="F1199" s="9"/>
      <c r="G1199" s="11">
        <f>IF(OR(A1199="",B1199=""),"",IF(COUNTIFS($A$6:$A$2005,A1199,$B$6:$B$2005,B1199)&gt;1,"DUPLICATE",""))</f>
        <v/>
      </c>
    </row>
    <row r="1200" spans="1:7">
      <c r="A1200" s="9"/>
      <c r="B1200" s="12"/>
      <c r="C1200" s="10"/>
      <c r="D1200" s="10"/>
      <c r="E1200" s="10"/>
      <c r="F1200" s="9"/>
      <c r="G1200" s="11">
        <f>IF(OR(A1200="",B1200=""),"",IF(COUNTIFS($A$6:$A$2005,A1200,$B$6:$B$2005,B1200)&gt;1,"DUPLICATE",""))</f>
        <v/>
      </c>
    </row>
    <row r="1201" spans="1:7">
      <c r="A1201" s="9"/>
      <c r="B1201" s="12"/>
      <c r="C1201" s="10"/>
      <c r="D1201" s="10"/>
      <c r="E1201" s="10"/>
      <c r="F1201" s="9"/>
      <c r="G1201" s="11">
        <f>IF(OR(A1201="",B1201=""),"",IF(COUNTIFS($A$6:$A$2005,A1201,$B$6:$B$2005,B1201)&gt;1,"DUPLICATE",""))</f>
        <v/>
      </c>
    </row>
    <row r="1202" spans="1:7">
      <c r="A1202" s="9"/>
      <c r="B1202" s="12"/>
      <c r="C1202" s="10"/>
      <c r="D1202" s="10"/>
      <c r="E1202" s="10"/>
      <c r="F1202" s="9"/>
      <c r="G1202" s="11">
        <f>IF(OR(A1202="",B1202=""),"",IF(COUNTIFS($A$6:$A$2005,A1202,$B$6:$B$2005,B1202)&gt;1,"DUPLICATE",""))</f>
        <v/>
      </c>
    </row>
    <row r="1203" spans="1:7">
      <c r="A1203" s="9"/>
      <c r="B1203" s="12"/>
      <c r="C1203" s="10"/>
      <c r="D1203" s="10"/>
      <c r="E1203" s="10"/>
      <c r="F1203" s="9"/>
      <c r="G1203" s="11">
        <f>IF(OR(A1203="",B1203=""),"",IF(COUNTIFS($A$6:$A$2005,A1203,$B$6:$B$2005,B1203)&gt;1,"DUPLICATE",""))</f>
        <v/>
      </c>
    </row>
    <row r="1204" spans="1:7">
      <c r="A1204" s="9"/>
      <c r="B1204" s="12"/>
      <c r="C1204" s="10"/>
      <c r="D1204" s="10"/>
      <c r="E1204" s="10"/>
      <c r="F1204" s="9"/>
      <c r="G1204" s="11">
        <f>IF(OR(A1204="",B1204=""),"",IF(COUNTIFS($A$6:$A$2005,A1204,$B$6:$B$2005,B1204)&gt;1,"DUPLICATE",""))</f>
        <v/>
      </c>
    </row>
    <row r="1205" spans="1:7">
      <c r="A1205" s="9"/>
      <c r="B1205" s="12"/>
      <c r="C1205" s="10"/>
      <c r="D1205" s="10"/>
      <c r="E1205" s="10"/>
      <c r="F1205" s="9"/>
      <c r="G1205" s="11">
        <f>IF(OR(A1205="",B1205=""),"",IF(COUNTIFS($A$6:$A$2005,A1205,$B$6:$B$2005,B1205)&gt;1,"DUPLICATE",""))</f>
        <v/>
      </c>
    </row>
    <row r="1206" spans="1:7">
      <c r="A1206" s="9"/>
      <c r="B1206" s="12"/>
      <c r="C1206" s="10"/>
      <c r="D1206" s="10"/>
      <c r="E1206" s="10"/>
      <c r="F1206" s="9"/>
      <c r="G1206" s="11">
        <f>IF(OR(A1206="",B1206=""),"",IF(COUNTIFS($A$6:$A$2005,A1206,$B$6:$B$2005,B1206)&gt;1,"DUPLICATE",""))</f>
        <v/>
      </c>
    </row>
    <row r="1207" spans="1:7">
      <c r="A1207" s="9"/>
      <c r="B1207" s="12"/>
      <c r="C1207" s="10"/>
      <c r="D1207" s="10"/>
      <c r="E1207" s="10"/>
      <c r="F1207" s="9"/>
      <c r="G1207" s="11">
        <f>IF(OR(A1207="",B1207=""),"",IF(COUNTIFS($A$6:$A$2005,A1207,$B$6:$B$2005,B1207)&gt;1,"DUPLICATE",""))</f>
        <v/>
      </c>
    </row>
    <row r="1208" spans="1:7">
      <c r="A1208" s="9"/>
      <c r="B1208" s="12"/>
      <c r="C1208" s="10"/>
      <c r="D1208" s="10"/>
      <c r="E1208" s="10"/>
      <c r="F1208" s="9"/>
      <c r="G1208" s="11">
        <f>IF(OR(A1208="",B1208=""),"",IF(COUNTIFS($A$6:$A$2005,A1208,$B$6:$B$2005,B1208)&gt;1,"DUPLICATE",""))</f>
        <v/>
      </c>
    </row>
    <row r="1209" spans="1:7">
      <c r="A1209" s="9"/>
      <c r="B1209" s="12"/>
      <c r="C1209" s="10"/>
      <c r="D1209" s="10"/>
      <c r="E1209" s="10"/>
      <c r="F1209" s="9"/>
      <c r="G1209" s="11">
        <f>IF(OR(A1209="",B1209=""),"",IF(COUNTIFS($A$6:$A$2005,A1209,$B$6:$B$2005,B1209)&gt;1,"DUPLICATE",""))</f>
        <v/>
      </c>
    </row>
    <row r="1210" spans="1:7">
      <c r="A1210" s="9"/>
      <c r="B1210" s="12"/>
      <c r="C1210" s="10"/>
      <c r="D1210" s="10"/>
      <c r="E1210" s="10"/>
      <c r="F1210" s="9"/>
      <c r="G1210" s="11">
        <f>IF(OR(A1210="",B1210=""),"",IF(COUNTIFS($A$6:$A$2005,A1210,$B$6:$B$2005,B1210)&gt;1,"DUPLICATE",""))</f>
        <v/>
      </c>
    </row>
    <row r="1211" spans="1:7">
      <c r="A1211" s="9"/>
      <c r="B1211" s="12"/>
      <c r="C1211" s="10"/>
      <c r="D1211" s="10"/>
      <c r="E1211" s="10"/>
      <c r="F1211" s="9"/>
      <c r="G1211" s="11">
        <f>IF(OR(A1211="",B1211=""),"",IF(COUNTIFS($A$6:$A$2005,A1211,$B$6:$B$2005,B1211)&gt;1,"DUPLICATE",""))</f>
        <v/>
      </c>
    </row>
    <row r="1212" spans="1:7">
      <c r="A1212" s="9"/>
      <c r="B1212" s="12"/>
      <c r="C1212" s="10"/>
      <c r="D1212" s="10"/>
      <c r="E1212" s="10"/>
      <c r="F1212" s="9"/>
      <c r="G1212" s="11">
        <f>IF(OR(A1212="",B1212=""),"",IF(COUNTIFS($A$6:$A$2005,A1212,$B$6:$B$2005,B1212)&gt;1,"DUPLICATE",""))</f>
        <v/>
      </c>
    </row>
    <row r="1213" spans="1:7">
      <c r="A1213" s="9"/>
      <c r="B1213" s="12"/>
      <c r="C1213" s="10"/>
      <c r="D1213" s="10"/>
      <c r="E1213" s="10"/>
      <c r="F1213" s="9"/>
      <c r="G1213" s="11">
        <f>IF(OR(A1213="",B1213=""),"",IF(COUNTIFS($A$6:$A$2005,A1213,$B$6:$B$2005,B1213)&gt;1,"DUPLICATE",""))</f>
        <v/>
      </c>
    </row>
    <row r="1214" spans="1:7">
      <c r="A1214" s="9"/>
      <c r="B1214" s="12"/>
      <c r="C1214" s="10"/>
      <c r="D1214" s="10"/>
      <c r="E1214" s="10"/>
      <c r="F1214" s="9"/>
      <c r="G1214" s="11">
        <f>IF(OR(A1214="",B1214=""),"",IF(COUNTIFS($A$6:$A$2005,A1214,$B$6:$B$2005,B1214)&gt;1,"DUPLICATE",""))</f>
        <v/>
      </c>
    </row>
    <row r="1215" spans="1:7">
      <c r="A1215" s="9"/>
      <c r="B1215" s="12"/>
      <c r="C1215" s="10"/>
      <c r="D1215" s="10"/>
      <c r="E1215" s="10"/>
      <c r="F1215" s="9"/>
      <c r="G1215" s="11">
        <f>IF(OR(A1215="",B1215=""),"",IF(COUNTIFS($A$6:$A$2005,A1215,$B$6:$B$2005,B1215)&gt;1,"DUPLICATE",""))</f>
        <v/>
      </c>
    </row>
    <row r="1216" spans="1:7">
      <c r="A1216" s="9"/>
      <c r="B1216" s="12"/>
      <c r="C1216" s="10"/>
      <c r="D1216" s="10"/>
      <c r="E1216" s="10"/>
      <c r="F1216" s="9"/>
      <c r="G1216" s="11">
        <f>IF(OR(A1216="",B1216=""),"",IF(COUNTIFS($A$6:$A$2005,A1216,$B$6:$B$2005,B1216)&gt;1,"DUPLICATE",""))</f>
        <v/>
      </c>
    </row>
    <row r="1217" spans="1:7">
      <c r="A1217" s="9"/>
      <c r="B1217" s="12"/>
      <c r="C1217" s="10"/>
      <c r="D1217" s="10"/>
      <c r="E1217" s="10"/>
      <c r="F1217" s="9"/>
      <c r="G1217" s="11">
        <f>IF(OR(A1217="",B1217=""),"",IF(COUNTIFS($A$6:$A$2005,A1217,$B$6:$B$2005,B1217)&gt;1,"DUPLICATE",""))</f>
        <v/>
      </c>
    </row>
    <row r="1218" spans="1:7">
      <c r="A1218" s="9"/>
      <c r="B1218" s="12"/>
      <c r="C1218" s="10"/>
      <c r="D1218" s="10"/>
      <c r="E1218" s="10"/>
      <c r="F1218" s="9"/>
      <c r="G1218" s="11">
        <f>IF(OR(A1218="",B1218=""),"",IF(COUNTIFS($A$6:$A$2005,A1218,$B$6:$B$2005,B1218)&gt;1,"DUPLICATE",""))</f>
        <v/>
      </c>
    </row>
    <row r="1219" spans="1:7">
      <c r="A1219" s="9"/>
      <c r="B1219" s="12"/>
      <c r="C1219" s="10"/>
      <c r="D1219" s="10"/>
      <c r="E1219" s="10"/>
      <c r="F1219" s="9"/>
      <c r="G1219" s="11">
        <f>IF(OR(A1219="",B1219=""),"",IF(COUNTIFS($A$6:$A$2005,A1219,$B$6:$B$2005,B1219)&gt;1,"DUPLICATE",""))</f>
        <v/>
      </c>
    </row>
    <row r="1220" spans="1:7">
      <c r="A1220" s="9"/>
      <c r="B1220" s="12"/>
      <c r="C1220" s="10"/>
      <c r="D1220" s="10"/>
      <c r="E1220" s="10"/>
      <c r="F1220" s="9"/>
      <c r="G1220" s="11">
        <f>IF(OR(A1220="",B1220=""),"",IF(COUNTIFS($A$6:$A$2005,A1220,$B$6:$B$2005,B1220)&gt;1,"DUPLICATE",""))</f>
        <v/>
      </c>
    </row>
    <row r="1221" spans="1:7">
      <c r="A1221" s="9"/>
      <c r="B1221" s="12"/>
      <c r="C1221" s="10"/>
      <c r="D1221" s="10"/>
      <c r="E1221" s="10"/>
      <c r="F1221" s="9"/>
      <c r="G1221" s="11">
        <f>IF(OR(A1221="",B1221=""),"",IF(COUNTIFS($A$6:$A$2005,A1221,$B$6:$B$2005,B1221)&gt;1,"DUPLICATE",""))</f>
        <v/>
      </c>
    </row>
    <row r="1222" spans="1:7">
      <c r="A1222" s="9"/>
      <c r="B1222" s="12"/>
      <c r="C1222" s="10"/>
      <c r="D1222" s="10"/>
      <c r="E1222" s="10"/>
      <c r="F1222" s="9"/>
      <c r="G1222" s="11">
        <f>IF(OR(A1222="",B1222=""),"",IF(COUNTIFS($A$6:$A$2005,A1222,$B$6:$B$2005,B1222)&gt;1,"DUPLICATE",""))</f>
        <v/>
      </c>
    </row>
    <row r="1223" spans="1:7">
      <c r="A1223" s="9"/>
      <c r="B1223" s="12"/>
      <c r="C1223" s="10"/>
      <c r="D1223" s="10"/>
      <c r="E1223" s="10"/>
      <c r="F1223" s="9"/>
      <c r="G1223" s="11">
        <f>IF(OR(A1223="",B1223=""),"",IF(COUNTIFS($A$6:$A$2005,A1223,$B$6:$B$2005,B1223)&gt;1,"DUPLICATE",""))</f>
        <v/>
      </c>
    </row>
    <row r="1224" spans="1:7">
      <c r="A1224" s="9"/>
      <c r="B1224" s="12"/>
      <c r="C1224" s="10"/>
      <c r="D1224" s="10"/>
      <c r="E1224" s="10"/>
      <c r="F1224" s="9"/>
      <c r="G1224" s="11">
        <f>IF(OR(A1224="",B1224=""),"",IF(COUNTIFS($A$6:$A$2005,A1224,$B$6:$B$2005,B1224)&gt;1,"DUPLICATE",""))</f>
        <v/>
      </c>
    </row>
    <row r="1225" spans="1:7">
      <c r="A1225" s="9"/>
      <c r="B1225" s="12"/>
      <c r="C1225" s="10"/>
      <c r="D1225" s="10"/>
      <c r="E1225" s="10"/>
      <c r="F1225" s="9"/>
      <c r="G1225" s="11">
        <f>IF(OR(A1225="",B1225=""),"",IF(COUNTIFS($A$6:$A$2005,A1225,$B$6:$B$2005,B1225)&gt;1,"DUPLICATE",""))</f>
        <v/>
      </c>
    </row>
    <row r="1226" spans="1:7">
      <c r="A1226" s="9"/>
      <c r="B1226" s="12"/>
      <c r="C1226" s="10"/>
      <c r="D1226" s="10"/>
      <c r="E1226" s="10"/>
      <c r="F1226" s="9"/>
      <c r="G1226" s="11">
        <f>IF(OR(A1226="",B1226=""),"",IF(COUNTIFS($A$6:$A$2005,A1226,$B$6:$B$2005,B1226)&gt;1,"DUPLICATE",""))</f>
        <v/>
      </c>
    </row>
    <row r="1227" spans="1:7">
      <c r="A1227" s="9"/>
      <c r="B1227" s="12"/>
      <c r="C1227" s="10"/>
      <c r="D1227" s="10"/>
      <c r="E1227" s="10"/>
      <c r="F1227" s="9"/>
      <c r="G1227" s="11">
        <f>IF(OR(A1227="",B1227=""),"",IF(COUNTIFS($A$6:$A$2005,A1227,$B$6:$B$2005,B1227)&gt;1,"DUPLICATE",""))</f>
        <v/>
      </c>
    </row>
    <row r="1228" spans="1:7">
      <c r="A1228" s="9"/>
      <c r="B1228" s="12"/>
      <c r="C1228" s="10"/>
      <c r="D1228" s="10"/>
      <c r="E1228" s="10"/>
      <c r="F1228" s="9"/>
      <c r="G1228" s="11">
        <f>IF(OR(A1228="",B1228=""),"",IF(COUNTIFS($A$6:$A$2005,A1228,$B$6:$B$2005,B1228)&gt;1,"DUPLICATE",""))</f>
        <v/>
      </c>
    </row>
    <row r="1229" spans="1:7">
      <c r="A1229" s="9"/>
      <c r="B1229" s="12"/>
      <c r="C1229" s="10"/>
      <c r="D1229" s="10"/>
      <c r="E1229" s="10"/>
      <c r="F1229" s="9"/>
      <c r="G1229" s="11">
        <f>IF(OR(A1229="",B1229=""),"",IF(COUNTIFS($A$6:$A$2005,A1229,$B$6:$B$2005,B1229)&gt;1,"DUPLICATE",""))</f>
        <v/>
      </c>
    </row>
    <row r="1230" spans="1:7">
      <c r="A1230" s="9"/>
      <c r="B1230" s="12"/>
      <c r="C1230" s="10"/>
      <c r="D1230" s="10"/>
      <c r="E1230" s="10"/>
      <c r="F1230" s="9"/>
      <c r="G1230" s="11">
        <f>IF(OR(A1230="",B1230=""),"",IF(COUNTIFS($A$6:$A$2005,A1230,$B$6:$B$2005,B1230)&gt;1,"DUPLICATE",""))</f>
        <v/>
      </c>
    </row>
    <row r="1231" spans="1:7">
      <c r="A1231" s="9"/>
      <c r="B1231" s="12"/>
      <c r="C1231" s="10"/>
      <c r="D1231" s="10"/>
      <c r="E1231" s="10"/>
      <c r="F1231" s="9"/>
      <c r="G1231" s="11">
        <f>IF(OR(A1231="",B1231=""),"",IF(COUNTIFS($A$6:$A$2005,A1231,$B$6:$B$2005,B1231)&gt;1,"DUPLICATE",""))</f>
        <v/>
      </c>
    </row>
    <row r="1232" spans="1:7">
      <c r="A1232" s="9"/>
      <c r="B1232" s="12"/>
      <c r="C1232" s="10"/>
      <c r="D1232" s="10"/>
      <c r="E1232" s="10"/>
      <c r="F1232" s="9"/>
      <c r="G1232" s="11">
        <f>IF(OR(A1232="",B1232=""),"",IF(COUNTIFS($A$6:$A$2005,A1232,$B$6:$B$2005,B1232)&gt;1,"DUPLICATE",""))</f>
        <v/>
      </c>
    </row>
    <row r="1233" spans="1:7">
      <c r="A1233" s="9"/>
      <c r="B1233" s="12"/>
      <c r="C1233" s="10"/>
      <c r="D1233" s="10"/>
      <c r="E1233" s="10"/>
      <c r="F1233" s="9"/>
      <c r="G1233" s="11">
        <f>IF(OR(A1233="",B1233=""),"",IF(COUNTIFS($A$6:$A$2005,A1233,$B$6:$B$2005,B1233)&gt;1,"DUPLICATE",""))</f>
        <v/>
      </c>
    </row>
    <row r="1234" spans="1:7">
      <c r="A1234" s="9"/>
      <c r="B1234" s="12"/>
      <c r="C1234" s="10"/>
      <c r="D1234" s="10"/>
      <c r="E1234" s="10"/>
      <c r="F1234" s="9"/>
      <c r="G1234" s="11">
        <f>IF(OR(A1234="",B1234=""),"",IF(COUNTIFS($A$6:$A$2005,A1234,$B$6:$B$2005,B1234)&gt;1,"DUPLICATE",""))</f>
        <v/>
      </c>
    </row>
    <row r="1235" spans="1:7">
      <c r="A1235" s="9"/>
      <c r="B1235" s="12"/>
      <c r="C1235" s="10"/>
      <c r="D1235" s="10"/>
      <c r="E1235" s="10"/>
      <c r="F1235" s="9"/>
      <c r="G1235" s="11">
        <f>IF(OR(A1235="",B1235=""),"",IF(COUNTIFS($A$6:$A$2005,A1235,$B$6:$B$2005,B1235)&gt;1,"DUPLICATE",""))</f>
        <v/>
      </c>
    </row>
    <row r="1236" spans="1:7">
      <c r="A1236" s="9"/>
      <c r="B1236" s="12"/>
      <c r="C1236" s="10"/>
      <c r="D1236" s="10"/>
      <c r="E1236" s="10"/>
      <c r="F1236" s="9"/>
      <c r="G1236" s="11">
        <f>IF(OR(A1236="",B1236=""),"",IF(COUNTIFS($A$6:$A$2005,A1236,$B$6:$B$2005,B1236)&gt;1,"DUPLICATE",""))</f>
        <v/>
      </c>
    </row>
    <row r="1237" spans="1:7">
      <c r="A1237" s="9"/>
      <c r="B1237" s="12"/>
      <c r="C1237" s="10"/>
      <c r="D1237" s="10"/>
      <c r="E1237" s="10"/>
      <c r="F1237" s="9"/>
      <c r="G1237" s="11">
        <f>IF(OR(A1237="",B1237=""),"",IF(COUNTIFS($A$6:$A$2005,A1237,$B$6:$B$2005,B1237)&gt;1,"DUPLICATE",""))</f>
        <v/>
      </c>
    </row>
    <row r="1238" spans="1:7">
      <c r="A1238" s="9"/>
      <c r="B1238" s="12"/>
      <c r="C1238" s="10"/>
      <c r="D1238" s="10"/>
      <c r="E1238" s="10"/>
      <c r="F1238" s="9"/>
      <c r="G1238" s="11">
        <f>IF(OR(A1238="",B1238=""),"",IF(COUNTIFS($A$6:$A$2005,A1238,$B$6:$B$2005,B1238)&gt;1,"DUPLICATE",""))</f>
        <v/>
      </c>
    </row>
    <row r="1239" spans="1:7">
      <c r="A1239" s="9"/>
      <c r="B1239" s="12"/>
      <c r="C1239" s="10"/>
      <c r="D1239" s="10"/>
      <c r="E1239" s="10"/>
      <c r="F1239" s="9"/>
      <c r="G1239" s="11">
        <f>IF(OR(A1239="",B1239=""),"",IF(COUNTIFS($A$6:$A$2005,A1239,$B$6:$B$2005,B1239)&gt;1,"DUPLICATE",""))</f>
        <v/>
      </c>
    </row>
    <row r="1240" spans="1:7">
      <c r="A1240" s="9"/>
      <c r="B1240" s="12"/>
      <c r="C1240" s="10"/>
      <c r="D1240" s="10"/>
      <c r="E1240" s="10"/>
      <c r="F1240" s="9"/>
      <c r="G1240" s="11">
        <f>IF(OR(A1240="",B1240=""),"",IF(COUNTIFS($A$6:$A$2005,A1240,$B$6:$B$2005,B1240)&gt;1,"DUPLICATE",""))</f>
        <v/>
      </c>
    </row>
    <row r="1241" spans="1:7">
      <c r="A1241" s="9"/>
      <c r="B1241" s="12"/>
      <c r="C1241" s="10"/>
      <c r="D1241" s="10"/>
      <c r="E1241" s="10"/>
      <c r="F1241" s="9"/>
      <c r="G1241" s="11">
        <f>IF(OR(A1241="",B1241=""),"",IF(COUNTIFS($A$6:$A$2005,A1241,$B$6:$B$2005,B1241)&gt;1,"DUPLICATE",""))</f>
        <v/>
      </c>
    </row>
    <row r="1242" spans="1:7">
      <c r="A1242" s="9"/>
      <c r="B1242" s="12"/>
      <c r="C1242" s="10"/>
      <c r="D1242" s="10"/>
      <c r="E1242" s="10"/>
      <c r="F1242" s="9"/>
      <c r="G1242" s="11">
        <f>IF(OR(A1242="",B1242=""),"",IF(COUNTIFS($A$6:$A$2005,A1242,$B$6:$B$2005,B1242)&gt;1,"DUPLICATE",""))</f>
        <v/>
      </c>
    </row>
    <row r="1243" spans="1:7">
      <c r="A1243" s="9"/>
      <c r="B1243" s="12"/>
      <c r="C1243" s="10"/>
      <c r="D1243" s="10"/>
      <c r="E1243" s="10"/>
      <c r="F1243" s="9"/>
      <c r="G1243" s="11">
        <f>IF(OR(A1243="",B1243=""),"",IF(COUNTIFS($A$6:$A$2005,A1243,$B$6:$B$2005,B1243)&gt;1,"DUPLICATE",""))</f>
        <v/>
      </c>
    </row>
    <row r="1244" spans="1:7">
      <c r="A1244" s="9"/>
      <c r="B1244" s="12"/>
      <c r="C1244" s="10"/>
      <c r="D1244" s="10"/>
      <c r="E1244" s="10"/>
      <c r="F1244" s="9"/>
      <c r="G1244" s="11">
        <f>IF(OR(A1244="",B1244=""),"",IF(COUNTIFS($A$6:$A$2005,A1244,$B$6:$B$2005,B1244)&gt;1,"DUPLICATE",""))</f>
        <v/>
      </c>
    </row>
    <row r="1245" spans="1:7">
      <c r="A1245" s="9"/>
      <c r="B1245" s="12"/>
      <c r="C1245" s="10"/>
      <c r="D1245" s="10"/>
      <c r="E1245" s="10"/>
      <c r="F1245" s="9"/>
      <c r="G1245" s="11">
        <f>IF(OR(A1245="",B1245=""),"",IF(COUNTIFS($A$6:$A$2005,A1245,$B$6:$B$2005,B1245)&gt;1,"DUPLICATE",""))</f>
        <v/>
      </c>
    </row>
    <row r="1246" spans="1:7">
      <c r="A1246" s="9"/>
      <c r="B1246" s="12"/>
      <c r="C1246" s="10"/>
      <c r="D1246" s="10"/>
      <c r="E1246" s="10"/>
      <c r="F1246" s="9"/>
      <c r="G1246" s="11">
        <f>IF(OR(A1246="",B1246=""),"",IF(COUNTIFS($A$6:$A$2005,A1246,$B$6:$B$2005,B1246)&gt;1,"DUPLICATE",""))</f>
        <v/>
      </c>
    </row>
    <row r="1247" spans="1:7">
      <c r="A1247" s="9"/>
      <c r="B1247" s="12"/>
      <c r="C1247" s="10"/>
      <c r="D1247" s="10"/>
      <c r="E1247" s="10"/>
      <c r="F1247" s="9"/>
      <c r="G1247" s="11">
        <f>IF(OR(A1247="",B1247=""),"",IF(COUNTIFS($A$6:$A$2005,A1247,$B$6:$B$2005,B1247)&gt;1,"DUPLICATE",""))</f>
        <v/>
      </c>
    </row>
    <row r="1248" spans="1:7">
      <c r="A1248" s="9"/>
      <c r="B1248" s="12"/>
      <c r="C1248" s="10"/>
      <c r="D1248" s="10"/>
      <c r="E1248" s="10"/>
      <c r="F1248" s="9"/>
      <c r="G1248" s="11">
        <f>IF(OR(A1248="",B1248=""),"",IF(COUNTIFS($A$6:$A$2005,A1248,$B$6:$B$2005,B1248)&gt;1,"DUPLICATE",""))</f>
        <v/>
      </c>
    </row>
    <row r="1249" spans="1:7">
      <c r="A1249" s="9"/>
      <c r="B1249" s="12"/>
      <c r="C1249" s="10"/>
      <c r="D1249" s="10"/>
      <c r="E1249" s="10"/>
      <c r="F1249" s="9"/>
      <c r="G1249" s="11">
        <f>IF(OR(A1249="",B1249=""),"",IF(COUNTIFS($A$6:$A$2005,A1249,$B$6:$B$2005,B1249)&gt;1,"DUPLICATE",""))</f>
        <v/>
      </c>
    </row>
    <row r="1250" spans="1:7">
      <c r="A1250" s="9"/>
      <c r="B1250" s="12"/>
      <c r="C1250" s="10"/>
      <c r="D1250" s="10"/>
      <c r="E1250" s="10"/>
      <c r="F1250" s="9"/>
      <c r="G1250" s="11">
        <f>IF(OR(A1250="",B1250=""),"",IF(COUNTIFS($A$6:$A$2005,A1250,$B$6:$B$2005,B1250)&gt;1,"DUPLICATE",""))</f>
        <v/>
      </c>
    </row>
    <row r="1251" spans="1:7">
      <c r="A1251" s="9"/>
      <c r="B1251" s="12"/>
      <c r="C1251" s="10"/>
      <c r="D1251" s="10"/>
      <c r="E1251" s="10"/>
      <c r="F1251" s="9"/>
      <c r="G1251" s="11">
        <f>IF(OR(A1251="",B1251=""),"",IF(COUNTIFS($A$6:$A$2005,A1251,$B$6:$B$2005,B1251)&gt;1,"DUPLICATE",""))</f>
        <v/>
      </c>
    </row>
    <row r="1252" spans="1:7">
      <c r="A1252" s="9"/>
      <c r="B1252" s="12"/>
      <c r="C1252" s="10"/>
      <c r="D1252" s="10"/>
      <c r="E1252" s="10"/>
      <c r="F1252" s="9"/>
      <c r="G1252" s="11">
        <f>IF(OR(A1252="",B1252=""),"",IF(COUNTIFS($A$6:$A$2005,A1252,$B$6:$B$2005,B1252)&gt;1,"DUPLICATE",""))</f>
        <v/>
      </c>
    </row>
    <row r="1253" spans="1:7">
      <c r="A1253" s="9"/>
      <c r="B1253" s="12"/>
      <c r="C1253" s="10"/>
      <c r="D1253" s="10"/>
      <c r="E1253" s="10"/>
      <c r="F1253" s="9"/>
      <c r="G1253" s="11">
        <f>IF(OR(A1253="",B1253=""),"",IF(COUNTIFS($A$6:$A$2005,A1253,$B$6:$B$2005,B1253)&gt;1,"DUPLICATE",""))</f>
        <v/>
      </c>
    </row>
    <row r="1254" spans="1:7">
      <c r="A1254" s="9"/>
      <c r="B1254" s="12"/>
      <c r="C1254" s="10"/>
      <c r="D1254" s="10"/>
      <c r="E1254" s="10"/>
      <c r="F1254" s="9"/>
      <c r="G1254" s="11">
        <f>IF(OR(A1254="",B1254=""),"",IF(COUNTIFS($A$6:$A$2005,A1254,$B$6:$B$2005,B1254)&gt;1,"DUPLICATE",""))</f>
        <v/>
      </c>
    </row>
    <row r="1255" spans="1:7">
      <c r="A1255" s="9"/>
      <c r="B1255" s="12"/>
      <c r="C1255" s="10"/>
      <c r="D1255" s="10"/>
      <c r="E1255" s="10"/>
      <c r="F1255" s="9"/>
      <c r="G1255" s="11">
        <f>IF(OR(A1255="",B1255=""),"",IF(COUNTIFS($A$6:$A$2005,A1255,$B$6:$B$2005,B1255)&gt;1,"DUPLICATE",""))</f>
        <v/>
      </c>
    </row>
    <row r="1256" spans="1:7">
      <c r="A1256" s="9"/>
      <c r="B1256" s="12"/>
      <c r="C1256" s="10"/>
      <c r="D1256" s="10"/>
      <c r="E1256" s="10"/>
      <c r="F1256" s="9"/>
      <c r="G1256" s="11">
        <f>IF(OR(A1256="",B1256=""),"",IF(COUNTIFS($A$6:$A$2005,A1256,$B$6:$B$2005,B1256)&gt;1,"DUPLICATE",""))</f>
        <v/>
      </c>
    </row>
    <row r="1257" spans="1:7">
      <c r="A1257" s="9"/>
      <c r="B1257" s="12"/>
      <c r="C1257" s="10"/>
      <c r="D1257" s="10"/>
      <c r="E1257" s="10"/>
      <c r="F1257" s="9"/>
      <c r="G1257" s="11">
        <f>IF(OR(A1257="",B1257=""),"",IF(COUNTIFS($A$6:$A$2005,A1257,$B$6:$B$2005,B1257)&gt;1,"DUPLICATE",""))</f>
        <v/>
      </c>
    </row>
    <row r="1258" spans="1:7">
      <c r="A1258" s="9"/>
      <c r="B1258" s="12"/>
      <c r="C1258" s="10"/>
      <c r="D1258" s="10"/>
      <c r="E1258" s="10"/>
      <c r="F1258" s="9"/>
      <c r="G1258" s="11">
        <f>IF(OR(A1258="",B1258=""),"",IF(COUNTIFS($A$6:$A$2005,A1258,$B$6:$B$2005,B1258)&gt;1,"DUPLICATE",""))</f>
        <v/>
      </c>
    </row>
    <row r="1259" spans="1:7">
      <c r="A1259" s="9"/>
      <c r="B1259" s="12"/>
      <c r="C1259" s="10"/>
      <c r="D1259" s="10"/>
      <c r="E1259" s="10"/>
      <c r="F1259" s="9"/>
      <c r="G1259" s="11">
        <f>IF(OR(A1259="",B1259=""),"",IF(COUNTIFS($A$6:$A$2005,A1259,$B$6:$B$2005,B1259)&gt;1,"DUPLICATE",""))</f>
        <v/>
      </c>
    </row>
    <row r="1260" spans="1:7">
      <c r="A1260" s="9"/>
      <c r="B1260" s="12"/>
      <c r="C1260" s="10"/>
      <c r="D1260" s="10"/>
      <c r="E1260" s="10"/>
      <c r="F1260" s="9"/>
      <c r="G1260" s="11">
        <f>IF(OR(A1260="",B1260=""),"",IF(COUNTIFS($A$6:$A$2005,A1260,$B$6:$B$2005,B1260)&gt;1,"DUPLICATE",""))</f>
        <v/>
      </c>
    </row>
    <row r="1261" spans="1:7">
      <c r="A1261" s="9"/>
      <c r="B1261" s="12"/>
      <c r="C1261" s="10"/>
      <c r="D1261" s="10"/>
      <c r="E1261" s="10"/>
      <c r="F1261" s="9"/>
      <c r="G1261" s="11">
        <f>IF(OR(A1261="",B1261=""),"",IF(COUNTIFS($A$6:$A$2005,A1261,$B$6:$B$2005,B1261)&gt;1,"DUPLICATE",""))</f>
        <v/>
      </c>
    </row>
    <row r="1262" spans="1:7">
      <c r="A1262" s="9"/>
      <c r="B1262" s="12"/>
      <c r="C1262" s="10"/>
      <c r="D1262" s="10"/>
      <c r="E1262" s="10"/>
      <c r="F1262" s="9"/>
      <c r="G1262" s="11">
        <f>IF(OR(A1262="",B1262=""),"",IF(COUNTIFS($A$6:$A$2005,A1262,$B$6:$B$2005,B1262)&gt;1,"DUPLICATE",""))</f>
        <v/>
      </c>
    </row>
    <row r="1263" spans="1:7">
      <c r="A1263" s="9"/>
      <c r="B1263" s="12"/>
      <c r="C1263" s="10"/>
      <c r="D1263" s="10"/>
      <c r="E1263" s="10"/>
      <c r="F1263" s="9"/>
      <c r="G1263" s="11">
        <f>IF(OR(A1263="",B1263=""),"",IF(COUNTIFS($A$6:$A$2005,A1263,$B$6:$B$2005,B1263)&gt;1,"DUPLICATE",""))</f>
        <v/>
      </c>
    </row>
    <row r="1264" spans="1:7">
      <c r="A1264" s="9"/>
      <c r="B1264" s="12"/>
      <c r="C1264" s="10"/>
      <c r="D1264" s="10"/>
      <c r="E1264" s="10"/>
      <c r="F1264" s="9"/>
      <c r="G1264" s="11">
        <f>IF(OR(A1264="",B1264=""),"",IF(COUNTIFS($A$6:$A$2005,A1264,$B$6:$B$2005,B1264)&gt;1,"DUPLICATE",""))</f>
        <v/>
      </c>
    </row>
    <row r="1265" spans="1:7">
      <c r="A1265" s="9"/>
      <c r="B1265" s="12"/>
      <c r="C1265" s="10"/>
      <c r="D1265" s="10"/>
      <c r="E1265" s="10"/>
      <c r="F1265" s="9"/>
      <c r="G1265" s="11">
        <f>IF(OR(A1265="",B1265=""),"",IF(COUNTIFS($A$6:$A$2005,A1265,$B$6:$B$2005,B1265)&gt;1,"DUPLICATE",""))</f>
        <v/>
      </c>
    </row>
    <row r="1266" spans="1:7">
      <c r="A1266" s="9"/>
      <c r="B1266" s="12"/>
      <c r="C1266" s="10"/>
      <c r="D1266" s="10"/>
      <c r="E1266" s="10"/>
      <c r="F1266" s="9"/>
      <c r="G1266" s="11">
        <f>IF(OR(A1266="",B1266=""),"",IF(COUNTIFS($A$6:$A$2005,A1266,$B$6:$B$2005,B1266)&gt;1,"DUPLICATE",""))</f>
        <v/>
      </c>
    </row>
    <row r="1267" spans="1:7">
      <c r="A1267" s="9"/>
      <c r="B1267" s="12"/>
      <c r="C1267" s="10"/>
      <c r="D1267" s="10"/>
      <c r="E1267" s="10"/>
      <c r="F1267" s="9"/>
      <c r="G1267" s="11">
        <f>IF(OR(A1267="",B1267=""),"",IF(COUNTIFS($A$6:$A$2005,A1267,$B$6:$B$2005,B1267)&gt;1,"DUPLICATE",""))</f>
        <v/>
      </c>
    </row>
    <row r="1268" spans="1:7">
      <c r="A1268" s="9"/>
      <c r="B1268" s="12"/>
      <c r="C1268" s="10"/>
      <c r="D1268" s="10"/>
      <c r="E1268" s="10"/>
      <c r="F1268" s="9"/>
      <c r="G1268" s="11">
        <f>IF(OR(A1268="",B1268=""),"",IF(COUNTIFS($A$6:$A$2005,A1268,$B$6:$B$2005,B1268)&gt;1,"DUPLICATE",""))</f>
        <v/>
      </c>
    </row>
    <row r="1269" spans="1:7">
      <c r="A1269" s="9"/>
      <c r="B1269" s="12"/>
      <c r="C1269" s="10"/>
      <c r="D1269" s="10"/>
      <c r="E1269" s="10"/>
      <c r="F1269" s="9"/>
      <c r="G1269" s="11">
        <f>IF(OR(A1269="",B1269=""),"",IF(COUNTIFS($A$6:$A$2005,A1269,$B$6:$B$2005,B1269)&gt;1,"DUPLICATE",""))</f>
        <v/>
      </c>
    </row>
    <row r="1270" spans="1:7">
      <c r="A1270" s="9"/>
      <c r="B1270" s="12"/>
      <c r="C1270" s="10"/>
      <c r="D1270" s="10"/>
      <c r="E1270" s="10"/>
      <c r="F1270" s="9"/>
      <c r="G1270" s="11">
        <f>IF(OR(A1270="",B1270=""),"",IF(COUNTIFS($A$6:$A$2005,A1270,$B$6:$B$2005,B1270)&gt;1,"DUPLICATE",""))</f>
        <v/>
      </c>
    </row>
    <row r="1271" spans="1:7">
      <c r="A1271" s="9"/>
      <c r="B1271" s="12"/>
      <c r="C1271" s="10"/>
      <c r="D1271" s="10"/>
      <c r="E1271" s="10"/>
      <c r="F1271" s="9"/>
      <c r="G1271" s="11">
        <f>IF(OR(A1271="",B1271=""),"",IF(COUNTIFS($A$6:$A$2005,A1271,$B$6:$B$2005,B1271)&gt;1,"DUPLICATE",""))</f>
        <v/>
      </c>
    </row>
    <row r="1272" spans="1:7">
      <c r="A1272" s="9"/>
      <c r="B1272" s="12"/>
      <c r="C1272" s="10"/>
      <c r="D1272" s="10"/>
      <c r="E1272" s="10"/>
      <c r="F1272" s="9"/>
      <c r="G1272" s="11">
        <f>IF(OR(A1272="",B1272=""),"",IF(COUNTIFS($A$6:$A$2005,A1272,$B$6:$B$2005,B1272)&gt;1,"DUPLICATE",""))</f>
        <v/>
      </c>
    </row>
    <row r="1273" spans="1:7">
      <c r="A1273" s="9"/>
      <c r="B1273" s="12"/>
      <c r="C1273" s="10"/>
      <c r="D1273" s="10"/>
      <c r="E1273" s="10"/>
      <c r="F1273" s="9"/>
      <c r="G1273" s="11">
        <f>IF(OR(A1273="",B1273=""),"",IF(COUNTIFS($A$6:$A$2005,A1273,$B$6:$B$2005,B1273)&gt;1,"DUPLICATE",""))</f>
        <v/>
      </c>
    </row>
    <row r="1274" spans="1:7">
      <c r="A1274" s="9"/>
      <c r="B1274" s="12"/>
      <c r="C1274" s="10"/>
      <c r="D1274" s="10"/>
      <c r="E1274" s="10"/>
      <c r="F1274" s="9"/>
      <c r="G1274" s="11">
        <f>IF(OR(A1274="",B1274=""),"",IF(COUNTIFS($A$6:$A$2005,A1274,$B$6:$B$2005,B1274)&gt;1,"DUPLICATE",""))</f>
        <v/>
      </c>
    </row>
    <row r="1275" spans="1:7">
      <c r="A1275" s="9"/>
      <c r="B1275" s="12"/>
      <c r="C1275" s="10"/>
      <c r="D1275" s="10"/>
      <c r="E1275" s="10"/>
      <c r="F1275" s="9"/>
      <c r="G1275" s="11">
        <f>IF(OR(A1275="",B1275=""),"",IF(COUNTIFS($A$6:$A$2005,A1275,$B$6:$B$2005,B1275)&gt;1,"DUPLICATE",""))</f>
        <v/>
      </c>
    </row>
    <row r="1276" spans="1:7">
      <c r="A1276" s="9"/>
      <c r="B1276" s="12"/>
      <c r="C1276" s="10"/>
      <c r="D1276" s="10"/>
      <c r="E1276" s="10"/>
      <c r="F1276" s="9"/>
      <c r="G1276" s="11">
        <f>IF(OR(A1276="",B1276=""),"",IF(COUNTIFS($A$6:$A$2005,A1276,$B$6:$B$2005,B1276)&gt;1,"DUPLICATE",""))</f>
        <v/>
      </c>
    </row>
    <row r="1277" spans="1:7">
      <c r="A1277" s="9"/>
      <c r="B1277" s="12"/>
      <c r="C1277" s="10"/>
      <c r="D1277" s="10"/>
      <c r="E1277" s="10"/>
      <c r="F1277" s="9"/>
      <c r="G1277" s="11">
        <f>IF(OR(A1277="",B1277=""),"",IF(COUNTIFS($A$6:$A$2005,A1277,$B$6:$B$2005,B1277)&gt;1,"DUPLICATE",""))</f>
        <v/>
      </c>
    </row>
    <row r="1278" spans="1:7">
      <c r="A1278" s="9"/>
      <c r="B1278" s="12"/>
      <c r="C1278" s="10"/>
      <c r="D1278" s="10"/>
      <c r="E1278" s="10"/>
      <c r="F1278" s="9"/>
      <c r="G1278" s="11">
        <f>IF(OR(A1278="",B1278=""),"",IF(COUNTIFS($A$6:$A$2005,A1278,$B$6:$B$2005,B1278)&gt;1,"DUPLICATE",""))</f>
        <v/>
      </c>
    </row>
    <row r="1279" spans="1:7">
      <c r="A1279" s="9"/>
      <c r="B1279" s="12"/>
      <c r="C1279" s="10"/>
      <c r="D1279" s="10"/>
      <c r="E1279" s="10"/>
      <c r="F1279" s="9"/>
      <c r="G1279" s="11">
        <f>IF(OR(A1279="",B1279=""),"",IF(COUNTIFS($A$6:$A$2005,A1279,$B$6:$B$2005,B1279)&gt;1,"DUPLICATE",""))</f>
        <v/>
      </c>
    </row>
    <row r="1280" spans="1:7">
      <c r="A1280" s="9"/>
      <c r="B1280" s="12"/>
      <c r="C1280" s="10"/>
      <c r="D1280" s="10"/>
      <c r="E1280" s="10"/>
      <c r="F1280" s="9"/>
      <c r="G1280" s="11">
        <f>IF(OR(A1280="",B1280=""),"",IF(COUNTIFS($A$6:$A$2005,A1280,$B$6:$B$2005,B1280)&gt;1,"DUPLICATE",""))</f>
        <v/>
      </c>
    </row>
    <row r="1281" spans="1:7">
      <c r="A1281" s="9"/>
      <c r="B1281" s="12"/>
      <c r="C1281" s="10"/>
      <c r="D1281" s="10"/>
      <c r="E1281" s="10"/>
      <c r="F1281" s="9"/>
      <c r="G1281" s="11">
        <f>IF(OR(A1281="",B1281=""),"",IF(COUNTIFS($A$6:$A$2005,A1281,$B$6:$B$2005,B1281)&gt;1,"DUPLICATE",""))</f>
        <v/>
      </c>
    </row>
    <row r="1282" spans="1:7">
      <c r="A1282" s="9"/>
      <c r="B1282" s="12"/>
      <c r="C1282" s="10"/>
      <c r="D1282" s="10"/>
      <c r="E1282" s="10"/>
      <c r="F1282" s="9"/>
      <c r="G1282" s="11">
        <f>IF(OR(A1282="",B1282=""),"",IF(COUNTIFS($A$6:$A$2005,A1282,$B$6:$B$2005,B1282)&gt;1,"DUPLICATE",""))</f>
        <v/>
      </c>
    </row>
    <row r="1283" spans="1:7">
      <c r="A1283" s="9"/>
      <c r="B1283" s="12"/>
      <c r="C1283" s="10"/>
      <c r="D1283" s="10"/>
      <c r="E1283" s="10"/>
      <c r="F1283" s="9"/>
      <c r="G1283" s="11">
        <f>IF(OR(A1283="",B1283=""),"",IF(COUNTIFS($A$6:$A$2005,A1283,$B$6:$B$2005,B1283)&gt;1,"DUPLICATE",""))</f>
        <v/>
      </c>
    </row>
    <row r="1284" spans="1:7">
      <c r="A1284" s="9"/>
      <c r="B1284" s="12"/>
      <c r="C1284" s="10"/>
      <c r="D1284" s="10"/>
      <c r="E1284" s="10"/>
      <c r="F1284" s="9"/>
      <c r="G1284" s="11">
        <f>IF(OR(A1284="",B1284=""),"",IF(COUNTIFS($A$6:$A$2005,A1284,$B$6:$B$2005,B1284)&gt;1,"DUPLICATE",""))</f>
        <v/>
      </c>
    </row>
    <row r="1285" spans="1:7">
      <c r="A1285" s="9"/>
      <c r="B1285" s="12"/>
      <c r="C1285" s="10"/>
      <c r="D1285" s="10"/>
      <c r="E1285" s="10"/>
      <c r="F1285" s="9"/>
      <c r="G1285" s="11">
        <f>IF(OR(A1285="",B1285=""),"",IF(COUNTIFS($A$6:$A$2005,A1285,$B$6:$B$2005,B1285)&gt;1,"DUPLICATE",""))</f>
        <v/>
      </c>
    </row>
    <row r="1286" spans="1:7">
      <c r="A1286" s="9"/>
      <c r="B1286" s="12"/>
      <c r="C1286" s="10"/>
      <c r="D1286" s="10"/>
      <c r="E1286" s="10"/>
      <c r="F1286" s="9"/>
      <c r="G1286" s="11">
        <f>IF(OR(A1286="",B1286=""),"",IF(COUNTIFS($A$6:$A$2005,A1286,$B$6:$B$2005,B1286)&gt;1,"DUPLICATE",""))</f>
        <v/>
      </c>
    </row>
    <row r="1287" spans="1:7">
      <c r="A1287" s="9"/>
      <c r="B1287" s="12"/>
      <c r="C1287" s="10"/>
      <c r="D1287" s="10"/>
      <c r="E1287" s="10"/>
      <c r="F1287" s="9"/>
      <c r="G1287" s="11">
        <f>IF(OR(A1287="",B1287=""),"",IF(COUNTIFS($A$6:$A$2005,A1287,$B$6:$B$2005,B1287)&gt;1,"DUPLICATE",""))</f>
        <v/>
      </c>
    </row>
    <row r="1288" spans="1:7">
      <c r="A1288" s="9"/>
      <c r="B1288" s="12"/>
      <c r="C1288" s="10"/>
      <c r="D1288" s="10"/>
      <c r="E1288" s="10"/>
      <c r="F1288" s="9"/>
      <c r="G1288" s="11">
        <f>IF(OR(A1288="",B1288=""),"",IF(COUNTIFS($A$6:$A$2005,A1288,$B$6:$B$2005,B1288)&gt;1,"DUPLICATE",""))</f>
        <v/>
      </c>
    </row>
    <row r="1289" spans="1:7">
      <c r="A1289" s="9"/>
      <c r="B1289" s="12"/>
      <c r="C1289" s="10"/>
      <c r="D1289" s="10"/>
      <c r="E1289" s="10"/>
      <c r="F1289" s="9"/>
      <c r="G1289" s="11">
        <f>IF(OR(A1289="",B1289=""),"",IF(COUNTIFS($A$6:$A$2005,A1289,$B$6:$B$2005,B1289)&gt;1,"DUPLICATE",""))</f>
        <v/>
      </c>
    </row>
    <row r="1290" spans="1:7">
      <c r="A1290" s="9"/>
      <c r="B1290" s="12"/>
      <c r="C1290" s="10"/>
      <c r="D1290" s="10"/>
      <c r="E1290" s="10"/>
      <c r="F1290" s="9"/>
      <c r="G1290" s="11">
        <f>IF(OR(A1290="",B1290=""),"",IF(COUNTIFS($A$6:$A$2005,A1290,$B$6:$B$2005,B1290)&gt;1,"DUPLICATE",""))</f>
        <v/>
      </c>
    </row>
    <row r="1291" spans="1:7">
      <c r="A1291" s="9"/>
      <c r="B1291" s="12"/>
      <c r="C1291" s="10"/>
      <c r="D1291" s="10"/>
      <c r="E1291" s="10"/>
      <c r="F1291" s="9"/>
      <c r="G1291" s="11">
        <f>IF(OR(A1291="",B1291=""),"",IF(COUNTIFS($A$6:$A$2005,A1291,$B$6:$B$2005,B1291)&gt;1,"DUPLICATE",""))</f>
        <v/>
      </c>
    </row>
    <row r="1292" spans="1:7">
      <c r="A1292" s="9"/>
      <c r="B1292" s="12"/>
      <c r="C1292" s="10"/>
      <c r="D1292" s="10"/>
      <c r="E1292" s="10"/>
      <c r="F1292" s="9"/>
      <c r="G1292" s="11">
        <f>IF(OR(A1292="",B1292=""),"",IF(COUNTIFS($A$6:$A$2005,A1292,$B$6:$B$2005,B1292)&gt;1,"DUPLICATE",""))</f>
        <v/>
      </c>
    </row>
    <row r="1293" spans="1:7">
      <c r="A1293" s="9"/>
      <c r="B1293" s="12"/>
      <c r="C1293" s="10"/>
      <c r="D1293" s="10"/>
      <c r="E1293" s="10"/>
      <c r="F1293" s="9"/>
      <c r="G1293" s="11">
        <f>IF(OR(A1293="",B1293=""),"",IF(COUNTIFS($A$6:$A$2005,A1293,$B$6:$B$2005,B1293)&gt;1,"DUPLICATE",""))</f>
        <v/>
      </c>
    </row>
    <row r="1294" spans="1:7">
      <c r="A1294" s="9"/>
      <c r="B1294" s="12"/>
      <c r="C1294" s="10"/>
      <c r="D1294" s="10"/>
      <c r="E1294" s="10"/>
      <c r="F1294" s="9"/>
      <c r="G1294" s="11">
        <f>IF(OR(A1294="",B1294=""),"",IF(COUNTIFS($A$6:$A$2005,A1294,$B$6:$B$2005,B1294)&gt;1,"DUPLICATE",""))</f>
        <v/>
      </c>
    </row>
    <row r="1295" spans="1:7">
      <c r="A1295" s="9"/>
      <c r="B1295" s="12"/>
      <c r="C1295" s="10"/>
      <c r="D1295" s="10"/>
      <c r="E1295" s="10"/>
      <c r="F1295" s="9"/>
      <c r="G1295" s="11">
        <f>IF(OR(A1295="",B1295=""),"",IF(COUNTIFS($A$6:$A$2005,A1295,$B$6:$B$2005,B1295)&gt;1,"DUPLICATE",""))</f>
        <v/>
      </c>
    </row>
    <row r="1296" spans="1:7">
      <c r="A1296" s="9"/>
      <c r="B1296" s="12"/>
      <c r="C1296" s="10"/>
      <c r="D1296" s="10"/>
      <c r="E1296" s="10"/>
      <c r="F1296" s="9"/>
      <c r="G1296" s="11">
        <f>IF(OR(A1296="",B1296=""),"",IF(COUNTIFS($A$6:$A$2005,A1296,$B$6:$B$2005,B1296)&gt;1,"DUPLICATE",""))</f>
        <v/>
      </c>
    </row>
    <row r="1297" spans="1:7">
      <c r="A1297" s="9"/>
      <c r="B1297" s="12"/>
      <c r="C1297" s="10"/>
      <c r="D1297" s="10"/>
      <c r="E1297" s="10"/>
      <c r="F1297" s="9"/>
      <c r="G1297" s="11">
        <f>IF(OR(A1297="",B1297=""),"",IF(COUNTIFS($A$6:$A$2005,A1297,$B$6:$B$2005,B1297)&gt;1,"DUPLICATE",""))</f>
        <v/>
      </c>
    </row>
    <row r="1298" spans="1:7">
      <c r="A1298" s="9"/>
      <c r="B1298" s="12"/>
      <c r="C1298" s="10"/>
      <c r="D1298" s="10"/>
      <c r="E1298" s="10"/>
      <c r="F1298" s="9"/>
      <c r="G1298" s="11">
        <f>IF(OR(A1298="",B1298=""),"",IF(COUNTIFS($A$6:$A$2005,A1298,$B$6:$B$2005,B1298)&gt;1,"DUPLICATE",""))</f>
        <v/>
      </c>
    </row>
    <row r="1299" spans="1:7">
      <c r="A1299" s="9"/>
      <c r="B1299" s="12"/>
      <c r="C1299" s="10"/>
      <c r="D1299" s="10"/>
      <c r="E1299" s="10"/>
      <c r="F1299" s="9"/>
      <c r="G1299" s="11">
        <f>IF(OR(A1299="",B1299=""),"",IF(COUNTIFS($A$6:$A$2005,A1299,$B$6:$B$2005,B1299)&gt;1,"DUPLICATE",""))</f>
        <v/>
      </c>
    </row>
    <row r="1300" spans="1:7">
      <c r="A1300" s="9"/>
      <c r="B1300" s="12"/>
      <c r="C1300" s="10"/>
      <c r="D1300" s="10"/>
      <c r="E1300" s="10"/>
      <c r="F1300" s="9"/>
      <c r="G1300" s="11">
        <f>IF(OR(A1300="",B1300=""),"",IF(COUNTIFS($A$6:$A$2005,A1300,$B$6:$B$2005,B1300)&gt;1,"DUPLICATE",""))</f>
        <v/>
      </c>
    </row>
    <row r="1301" spans="1:7">
      <c r="A1301" s="9"/>
      <c r="B1301" s="12"/>
      <c r="C1301" s="10"/>
      <c r="D1301" s="10"/>
      <c r="E1301" s="10"/>
      <c r="F1301" s="9"/>
      <c r="G1301" s="11">
        <f>IF(OR(A1301="",B1301=""),"",IF(COUNTIFS($A$6:$A$2005,A1301,$B$6:$B$2005,B1301)&gt;1,"DUPLICATE",""))</f>
        <v/>
      </c>
    </row>
    <row r="1302" spans="1:7">
      <c r="A1302" s="9"/>
      <c r="B1302" s="12"/>
      <c r="C1302" s="10"/>
      <c r="D1302" s="10"/>
      <c r="E1302" s="10"/>
      <c r="F1302" s="9"/>
      <c r="G1302" s="11">
        <f>IF(OR(A1302="",B1302=""),"",IF(COUNTIFS($A$6:$A$2005,A1302,$B$6:$B$2005,B1302)&gt;1,"DUPLICATE",""))</f>
        <v/>
      </c>
    </row>
    <row r="1303" spans="1:7">
      <c r="A1303" s="9"/>
      <c r="B1303" s="12"/>
      <c r="C1303" s="10"/>
      <c r="D1303" s="10"/>
      <c r="E1303" s="10"/>
      <c r="F1303" s="9"/>
      <c r="G1303" s="11">
        <f>IF(OR(A1303="",B1303=""),"",IF(COUNTIFS($A$6:$A$2005,A1303,$B$6:$B$2005,B1303)&gt;1,"DUPLICATE",""))</f>
        <v/>
      </c>
    </row>
    <row r="1304" spans="1:7">
      <c r="A1304" s="9"/>
      <c r="B1304" s="12"/>
      <c r="C1304" s="10"/>
      <c r="D1304" s="10"/>
      <c r="E1304" s="10"/>
      <c r="F1304" s="9"/>
      <c r="G1304" s="11">
        <f>IF(OR(A1304="",B1304=""),"",IF(COUNTIFS($A$6:$A$2005,A1304,$B$6:$B$2005,B1304)&gt;1,"DUPLICATE",""))</f>
        <v/>
      </c>
    </row>
    <row r="1305" spans="1:7">
      <c r="A1305" s="9"/>
      <c r="B1305" s="12"/>
      <c r="C1305" s="10"/>
      <c r="D1305" s="10"/>
      <c r="E1305" s="10"/>
      <c r="F1305" s="9"/>
      <c r="G1305" s="11">
        <f>IF(OR(A1305="",B1305=""),"",IF(COUNTIFS($A$6:$A$2005,A1305,$B$6:$B$2005,B1305)&gt;1,"DUPLICATE",""))</f>
        <v/>
      </c>
    </row>
    <row r="1306" spans="1:7">
      <c r="A1306" s="9"/>
      <c r="B1306" s="12"/>
      <c r="C1306" s="10"/>
      <c r="D1306" s="10"/>
      <c r="E1306" s="10"/>
      <c r="F1306" s="9"/>
      <c r="G1306" s="11">
        <f>IF(OR(A1306="",B1306=""),"",IF(COUNTIFS($A$6:$A$2005,A1306,$B$6:$B$2005,B1306)&gt;1,"DUPLICATE",""))</f>
        <v/>
      </c>
    </row>
    <row r="1307" spans="1:7">
      <c r="A1307" s="9"/>
      <c r="B1307" s="12"/>
      <c r="C1307" s="10"/>
      <c r="D1307" s="10"/>
      <c r="E1307" s="10"/>
      <c r="F1307" s="9"/>
      <c r="G1307" s="11">
        <f>IF(OR(A1307="",B1307=""),"",IF(COUNTIFS($A$6:$A$2005,A1307,$B$6:$B$2005,B1307)&gt;1,"DUPLICATE",""))</f>
        <v/>
      </c>
    </row>
    <row r="1308" spans="1:7">
      <c r="A1308" s="9"/>
      <c r="B1308" s="12"/>
      <c r="C1308" s="10"/>
      <c r="D1308" s="10"/>
      <c r="E1308" s="10"/>
      <c r="F1308" s="9"/>
      <c r="G1308" s="11">
        <f>IF(OR(A1308="",B1308=""),"",IF(COUNTIFS($A$6:$A$2005,A1308,$B$6:$B$2005,B1308)&gt;1,"DUPLICATE",""))</f>
        <v/>
      </c>
    </row>
    <row r="1309" spans="1:7">
      <c r="A1309" s="9"/>
      <c r="B1309" s="12"/>
      <c r="C1309" s="10"/>
      <c r="D1309" s="10"/>
      <c r="E1309" s="10"/>
      <c r="F1309" s="9"/>
      <c r="G1309" s="11">
        <f>IF(OR(A1309="",B1309=""),"",IF(COUNTIFS($A$6:$A$2005,A1309,$B$6:$B$2005,B1309)&gt;1,"DUPLICATE",""))</f>
        <v/>
      </c>
    </row>
    <row r="1310" spans="1:7">
      <c r="A1310" s="9"/>
      <c r="B1310" s="12"/>
      <c r="C1310" s="10"/>
      <c r="D1310" s="10"/>
      <c r="E1310" s="10"/>
      <c r="F1310" s="9"/>
      <c r="G1310" s="11">
        <f>IF(OR(A1310="",B1310=""),"",IF(COUNTIFS($A$6:$A$2005,A1310,$B$6:$B$2005,B1310)&gt;1,"DUPLICATE",""))</f>
        <v/>
      </c>
    </row>
    <row r="1311" spans="1:7">
      <c r="A1311" s="9"/>
      <c r="B1311" s="12"/>
      <c r="C1311" s="10"/>
      <c r="D1311" s="10"/>
      <c r="E1311" s="10"/>
      <c r="F1311" s="9"/>
      <c r="G1311" s="11">
        <f>IF(OR(A1311="",B1311=""),"",IF(COUNTIFS($A$6:$A$2005,A1311,$B$6:$B$2005,B1311)&gt;1,"DUPLICATE",""))</f>
        <v/>
      </c>
    </row>
    <row r="1312" spans="1:7">
      <c r="A1312" s="9"/>
      <c r="B1312" s="12"/>
      <c r="C1312" s="10"/>
      <c r="D1312" s="10"/>
      <c r="E1312" s="10"/>
      <c r="F1312" s="9"/>
      <c r="G1312" s="11">
        <f>IF(OR(A1312="",B1312=""),"",IF(COUNTIFS($A$6:$A$2005,A1312,$B$6:$B$2005,B1312)&gt;1,"DUPLICATE",""))</f>
        <v/>
      </c>
    </row>
    <row r="1313" spans="1:7">
      <c r="A1313" s="9"/>
      <c r="B1313" s="12"/>
      <c r="C1313" s="10"/>
      <c r="D1313" s="10"/>
      <c r="E1313" s="10"/>
      <c r="F1313" s="9"/>
      <c r="G1313" s="11">
        <f>IF(OR(A1313="",B1313=""),"",IF(COUNTIFS($A$6:$A$2005,A1313,$B$6:$B$2005,B1313)&gt;1,"DUPLICATE",""))</f>
        <v/>
      </c>
    </row>
    <row r="1314" spans="1:7">
      <c r="A1314" s="9"/>
      <c r="B1314" s="12"/>
      <c r="C1314" s="10"/>
      <c r="D1314" s="10"/>
      <c r="E1314" s="10"/>
      <c r="F1314" s="9"/>
      <c r="G1314" s="11">
        <f>IF(OR(A1314="",B1314=""),"",IF(COUNTIFS($A$6:$A$2005,A1314,$B$6:$B$2005,B1314)&gt;1,"DUPLICATE",""))</f>
        <v/>
      </c>
    </row>
    <row r="1315" spans="1:7">
      <c r="A1315" s="9"/>
      <c r="B1315" s="12"/>
      <c r="C1315" s="10"/>
      <c r="D1315" s="10"/>
      <c r="E1315" s="10"/>
      <c r="F1315" s="9"/>
      <c r="G1315" s="11">
        <f>IF(OR(A1315="",B1315=""),"",IF(COUNTIFS($A$6:$A$2005,A1315,$B$6:$B$2005,B1315)&gt;1,"DUPLICATE",""))</f>
        <v/>
      </c>
    </row>
    <row r="1316" spans="1:7">
      <c r="A1316" s="9"/>
      <c r="B1316" s="12"/>
      <c r="C1316" s="10"/>
      <c r="D1316" s="10"/>
      <c r="E1316" s="10"/>
      <c r="F1316" s="9"/>
      <c r="G1316" s="11">
        <f>IF(OR(A1316="",B1316=""),"",IF(COUNTIFS($A$6:$A$2005,A1316,$B$6:$B$2005,B1316)&gt;1,"DUPLICATE",""))</f>
        <v/>
      </c>
    </row>
    <row r="1317" spans="1:7">
      <c r="A1317" s="9"/>
      <c r="B1317" s="12"/>
      <c r="C1317" s="10"/>
      <c r="D1317" s="10"/>
      <c r="E1317" s="10"/>
      <c r="F1317" s="9"/>
      <c r="G1317" s="11">
        <f>IF(OR(A1317="",B1317=""),"",IF(COUNTIFS($A$6:$A$2005,A1317,$B$6:$B$2005,B1317)&gt;1,"DUPLICATE",""))</f>
        <v/>
      </c>
    </row>
    <row r="1318" spans="1:7">
      <c r="A1318" s="9"/>
      <c r="B1318" s="12"/>
      <c r="C1318" s="10"/>
      <c r="D1318" s="10"/>
      <c r="E1318" s="10"/>
      <c r="F1318" s="9"/>
      <c r="G1318" s="11">
        <f>IF(OR(A1318="",B1318=""),"",IF(COUNTIFS($A$6:$A$2005,A1318,$B$6:$B$2005,B1318)&gt;1,"DUPLICATE",""))</f>
        <v/>
      </c>
    </row>
    <row r="1319" spans="1:7">
      <c r="A1319" s="9"/>
      <c r="B1319" s="12"/>
      <c r="C1319" s="10"/>
      <c r="D1319" s="10"/>
      <c r="E1319" s="10"/>
      <c r="F1319" s="9"/>
      <c r="G1319" s="11">
        <f>IF(OR(A1319="",B1319=""),"",IF(COUNTIFS($A$6:$A$2005,A1319,$B$6:$B$2005,B1319)&gt;1,"DUPLICATE",""))</f>
        <v/>
      </c>
    </row>
    <row r="1320" spans="1:7">
      <c r="A1320" s="9"/>
      <c r="B1320" s="12"/>
      <c r="C1320" s="10"/>
      <c r="D1320" s="10"/>
      <c r="E1320" s="10"/>
      <c r="F1320" s="9"/>
      <c r="G1320" s="11">
        <f>IF(OR(A1320="",B1320=""),"",IF(COUNTIFS($A$6:$A$2005,A1320,$B$6:$B$2005,B1320)&gt;1,"DUPLICATE",""))</f>
        <v/>
      </c>
    </row>
    <row r="1321" spans="1:7">
      <c r="A1321" s="9"/>
      <c r="B1321" s="12"/>
      <c r="C1321" s="10"/>
      <c r="D1321" s="10"/>
      <c r="E1321" s="10"/>
      <c r="F1321" s="9"/>
      <c r="G1321" s="11">
        <f>IF(OR(A1321="",B1321=""),"",IF(COUNTIFS($A$6:$A$2005,A1321,$B$6:$B$2005,B1321)&gt;1,"DUPLICATE",""))</f>
        <v/>
      </c>
    </row>
    <row r="1322" spans="1:7">
      <c r="A1322" s="9"/>
      <c r="B1322" s="12"/>
      <c r="C1322" s="10"/>
      <c r="D1322" s="10"/>
      <c r="E1322" s="10"/>
      <c r="F1322" s="9"/>
      <c r="G1322" s="11">
        <f>IF(OR(A1322="",B1322=""),"",IF(COUNTIFS($A$6:$A$2005,A1322,$B$6:$B$2005,B1322)&gt;1,"DUPLICATE",""))</f>
        <v/>
      </c>
    </row>
    <row r="1323" spans="1:7">
      <c r="A1323" s="9"/>
      <c r="B1323" s="12"/>
      <c r="C1323" s="10"/>
      <c r="D1323" s="10"/>
      <c r="E1323" s="10"/>
      <c r="F1323" s="9"/>
      <c r="G1323" s="11">
        <f>IF(OR(A1323="",B1323=""),"",IF(COUNTIFS($A$6:$A$2005,A1323,$B$6:$B$2005,B1323)&gt;1,"DUPLICATE",""))</f>
        <v/>
      </c>
    </row>
    <row r="1324" spans="1:7">
      <c r="A1324" s="9"/>
      <c r="B1324" s="12"/>
      <c r="C1324" s="10"/>
      <c r="D1324" s="10"/>
      <c r="E1324" s="10"/>
      <c r="F1324" s="9"/>
      <c r="G1324" s="11">
        <f>IF(OR(A1324="",B1324=""),"",IF(COUNTIFS($A$6:$A$2005,A1324,$B$6:$B$2005,B1324)&gt;1,"DUPLICATE",""))</f>
        <v/>
      </c>
    </row>
    <row r="1325" spans="1:7">
      <c r="A1325" s="9"/>
      <c r="B1325" s="12"/>
      <c r="C1325" s="10"/>
      <c r="D1325" s="10"/>
      <c r="E1325" s="10"/>
      <c r="F1325" s="9"/>
      <c r="G1325" s="11">
        <f>IF(OR(A1325="",B1325=""),"",IF(COUNTIFS($A$6:$A$2005,A1325,$B$6:$B$2005,B1325)&gt;1,"DUPLICATE",""))</f>
        <v/>
      </c>
    </row>
    <row r="1326" spans="1:7">
      <c r="A1326" s="9"/>
      <c r="B1326" s="12"/>
      <c r="C1326" s="10"/>
      <c r="D1326" s="10"/>
      <c r="E1326" s="10"/>
      <c r="F1326" s="9"/>
      <c r="G1326" s="11">
        <f>IF(OR(A1326="",B1326=""),"",IF(COUNTIFS($A$6:$A$2005,A1326,$B$6:$B$2005,B1326)&gt;1,"DUPLICATE",""))</f>
        <v/>
      </c>
    </row>
    <row r="1327" spans="1:7">
      <c r="A1327" s="9"/>
      <c r="B1327" s="12"/>
      <c r="C1327" s="10"/>
      <c r="D1327" s="10"/>
      <c r="E1327" s="10"/>
      <c r="F1327" s="9"/>
      <c r="G1327" s="11">
        <f>IF(OR(A1327="",B1327=""),"",IF(COUNTIFS($A$6:$A$2005,A1327,$B$6:$B$2005,B1327)&gt;1,"DUPLICATE",""))</f>
        <v/>
      </c>
    </row>
    <row r="1328" spans="1:7">
      <c r="A1328" s="9"/>
      <c r="B1328" s="12"/>
      <c r="C1328" s="10"/>
      <c r="D1328" s="10"/>
      <c r="E1328" s="10"/>
      <c r="F1328" s="9"/>
      <c r="G1328" s="11">
        <f>IF(OR(A1328="",B1328=""),"",IF(COUNTIFS($A$6:$A$2005,A1328,$B$6:$B$2005,B1328)&gt;1,"DUPLICATE",""))</f>
        <v/>
      </c>
    </row>
    <row r="1329" spans="1:7">
      <c r="A1329" s="9"/>
      <c r="B1329" s="12"/>
      <c r="C1329" s="10"/>
      <c r="D1329" s="10"/>
      <c r="E1329" s="10"/>
      <c r="F1329" s="9"/>
      <c r="G1329" s="11">
        <f>IF(OR(A1329="",B1329=""),"",IF(COUNTIFS($A$6:$A$2005,A1329,$B$6:$B$2005,B1329)&gt;1,"DUPLICATE",""))</f>
        <v/>
      </c>
    </row>
    <row r="1330" spans="1:7">
      <c r="A1330" s="9"/>
      <c r="B1330" s="12"/>
      <c r="C1330" s="10"/>
      <c r="D1330" s="10"/>
      <c r="E1330" s="10"/>
      <c r="F1330" s="9"/>
      <c r="G1330" s="11">
        <f>IF(OR(A1330="",B1330=""),"",IF(COUNTIFS($A$6:$A$2005,A1330,$B$6:$B$2005,B1330)&gt;1,"DUPLICATE",""))</f>
        <v/>
      </c>
    </row>
    <row r="1331" spans="1:7">
      <c r="A1331" s="9"/>
      <c r="B1331" s="12"/>
      <c r="C1331" s="10"/>
      <c r="D1331" s="10"/>
      <c r="E1331" s="10"/>
      <c r="F1331" s="9"/>
      <c r="G1331" s="11">
        <f>IF(OR(A1331="",B1331=""),"",IF(COUNTIFS($A$6:$A$2005,A1331,$B$6:$B$2005,B1331)&gt;1,"DUPLICATE",""))</f>
        <v/>
      </c>
    </row>
    <row r="1332" spans="1:7">
      <c r="A1332" s="9"/>
      <c r="B1332" s="12"/>
      <c r="C1332" s="10"/>
      <c r="D1332" s="10"/>
      <c r="E1332" s="10"/>
      <c r="F1332" s="9"/>
      <c r="G1332" s="11">
        <f>IF(OR(A1332="",B1332=""),"",IF(COUNTIFS($A$6:$A$2005,A1332,$B$6:$B$2005,B1332)&gt;1,"DUPLICATE",""))</f>
        <v/>
      </c>
    </row>
    <row r="1333" spans="1:7">
      <c r="A1333" s="9"/>
      <c r="B1333" s="12"/>
      <c r="C1333" s="10"/>
      <c r="D1333" s="10"/>
      <c r="E1333" s="10"/>
      <c r="F1333" s="9"/>
      <c r="G1333" s="11">
        <f>IF(OR(A1333="",B1333=""),"",IF(COUNTIFS($A$6:$A$2005,A1333,$B$6:$B$2005,B1333)&gt;1,"DUPLICATE",""))</f>
        <v/>
      </c>
    </row>
    <row r="1334" spans="1:7">
      <c r="A1334" s="9"/>
      <c r="B1334" s="12"/>
      <c r="C1334" s="10"/>
      <c r="D1334" s="10"/>
      <c r="E1334" s="10"/>
      <c r="F1334" s="9"/>
      <c r="G1334" s="11">
        <f>IF(OR(A1334="",B1334=""),"",IF(COUNTIFS($A$6:$A$2005,A1334,$B$6:$B$2005,B1334)&gt;1,"DUPLICATE",""))</f>
        <v/>
      </c>
    </row>
    <row r="1335" spans="1:7">
      <c r="A1335" s="9"/>
      <c r="B1335" s="12"/>
      <c r="C1335" s="10"/>
      <c r="D1335" s="10"/>
      <c r="E1335" s="10"/>
      <c r="F1335" s="9"/>
      <c r="G1335" s="11">
        <f>IF(OR(A1335="",B1335=""),"",IF(COUNTIFS($A$6:$A$2005,A1335,$B$6:$B$2005,B1335)&gt;1,"DUPLICATE",""))</f>
        <v/>
      </c>
    </row>
    <row r="1336" spans="1:7">
      <c r="A1336" s="9"/>
      <c r="B1336" s="12"/>
      <c r="C1336" s="10"/>
      <c r="D1336" s="10"/>
      <c r="E1336" s="10"/>
      <c r="F1336" s="9"/>
      <c r="G1336" s="11">
        <f>IF(OR(A1336="",B1336=""),"",IF(COUNTIFS($A$6:$A$2005,A1336,$B$6:$B$2005,B1336)&gt;1,"DUPLICATE",""))</f>
        <v/>
      </c>
    </row>
    <row r="1337" spans="1:7">
      <c r="A1337" s="9"/>
      <c r="B1337" s="12"/>
      <c r="C1337" s="10"/>
      <c r="D1337" s="10"/>
      <c r="E1337" s="10"/>
      <c r="F1337" s="9"/>
      <c r="G1337" s="11">
        <f>IF(OR(A1337="",B1337=""),"",IF(COUNTIFS($A$6:$A$2005,A1337,$B$6:$B$2005,B1337)&gt;1,"DUPLICATE",""))</f>
        <v/>
      </c>
    </row>
    <row r="1338" spans="1:7">
      <c r="A1338" s="9"/>
      <c r="B1338" s="12"/>
      <c r="C1338" s="10"/>
      <c r="D1338" s="10"/>
      <c r="E1338" s="10"/>
      <c r="F1338" s="9"/>
      <c r="G1338" s="11">
        <f>IF(OR(A1338="",B1338=""),"",IF(COUNTIFS($A$6:$A$2005,A1338,$B$6:$B$2005,B1338)&gt;1,"DUPLICATE",""))</f>
        <v/>
      </c>
    </row>
    <row r="1339" spans="1:7">
      <c r="A1339" s="9"/>
      <c r="B1339" s="12"/>
      <c r="C1339" s="10"/>
      <c r="D1339" s="10"/>
      <c r="E1339" s="10"/>
      <c r="F1339" s="9"/>
      <c r="G1339" s="11">
        <f>IF(OR(A1339="",B1339=""),"",IF(COUNTIFS($A$6:$A$2005,A1339,$B$6:$B$2005,B1339)&gt;1,"DUPLICATE",""))</f>
        <v/>
      </c>
    </row>
    <row r="1340" spans="1:7">
      <c r="A1340" s="9"/>
      <c r="B1340" s="12"/>
      <c r="C1340" s="10"/>
      <c r="D1340" s="10"/>
      <c r="E1340" s="10"/>
      <c r="F1340" s="9"/>
      <c r="G1340" s="11">
        <f>IF(OR(A1340="",B1340=""),"",IF(COUNTIFS($A$6:$A$2005,A1340,$B$6:$B$2005,B1340)&gt;1,"DUPLICATE",""))</f>
        <v/>
      </c>
    </row>
    <row r="1341" spans="1:7">
      <c r="A1341" s="9"/>
      <c r="B1341" s="12"/>
      <c r="C1341" s="10"/>
      <c r="D1341" s="10"/>
      <c r="E1341" s="10"/>
      <c r="F1341" s="9"/>
      <c r="G1341" s="11">
        <f>IF(OR(A1341="",B1341=""),"",IF(COUNTIFS($A$6:$A$2005,A1341,$B$6:$B$2005,B1341)&gt;1,"DUPLICATE",""))</f>
        <v/>
      </c>
    </row>
    <row r="1342" spans="1:7">
      <c r="A1342" s="9"/>
      <c r="B1342" s="12"/>
      <c r="C1342" s="10"/>
      <c r="D1342" s="10"/>
      <c r="E1342" s="10"/>
      <c r="F1342" s="9"/>
      <c r="G1342" s="11">
        <f>IF(OR(A1342="",B1342=""),"",IF(COUNTIFS($A$6:$A$2005,A1342,$B$6:$B$2005,B1342)&gt;1,"DUPLICATE",""))</f>
        <v/>
      </c>
    </row>
    <row r="1343" spans="1:7">
      <c r="A1343" s="9"/>
      <c r="B1343" s="12"/>
      <c r="C1343" s="10"/>
      <c r="D1343" s="10"/>
      <c r="E1343" s="10"/>
      <c r="F1343" s="9"/>
      <c r="G1343" s="11">
        <f>IF(OR(A1343="",B1343=""),"",IF(COUNTIFS($A$6:$A$2005,A1343,$B$6:$B$2005,B1343)&gt;1,"DUPLICATE",""))</f>
        <v/>
      </c>
    </row>
    <row r="1344" spans="1:7">
      <c r="A1344" s="9"/>
      <c r="B1344" s="12"/>
      <c r="C1344" s="10"/>
      <c r="D1344" s="10"/>
      <c r="E1344" s="10"/>
      <c r="F1344" s="9"/>
      <c r="G1344" s="11">
        <f>IF(OR(A1344="",B1344=""),"",IF(COUNTIFS($A$6:$A$2005,A1344,$B$6:$B$2005,B1344)&gt;1,"DUPLICATE",""))</f>
        <v/>
      </c>
    </row>
    <row r="1345" spans="1:7">
      <c r="A1345" s="9"/>
      <c r="B1345" s="12"/>
      <c r="C1345" s="10"/>
      <c r="D1345" s="10"/>
      <c r="E1345" s="10"/>
      <c r="F1345" s="9"/>
      <c r="G1345" s="11">
        <f>IF(OR(A1345="",B1345=""),"",IF(COUNTIFS($A$6:$A$2005,A1345,$B$6:$B$2005,B1345)&gt;1,"DUPLICATE",""))</f>
        <v/>
      </c>
    </row>
    <row r="1346" spans="1:7">
      <c r="A1346" s="9"/>
      <c r="B1346" s="12"/>
      <c r="C1346" s="10"/>
      <c r="D1346" s="10"/>
      <c r="E1346" s="10"/>
      <c r="F1346" s="9"/>
      <c r="G1346" s="11">
        <f>IF(OR(A1346="",B1346=""),"",IF(COUNTIFS($A$6:$A$2005,A1346,$B$6:$B$2005,B1346)&gt;1,"DUPLICATE",""))</f>
        <v/>
      </c>
    </row>
    <row r="1347" spans="1:7">
      <c r="A1347" s="9"/>
      <c r="B1347" s="12"/>
      <c r="C1347" s="10"/>
      <c r="D1347" s="10"/>
      <c r="E1347" s="10"/>
      <c r="F1347" s="9"/>
      <c r="G1347" s="11">
        <f>IF(OR(A1347="",B1347=""),"",IF(COUNTIFS($A$6:$A$2005,A1347,$B$6:$B$2005,B1347)&gt;1,"DUPLICATE",""))</f>
        <v/>
      </c>
    </row>
    <row r="1348" spans="1:7">
      <c r="A1348" s="9"/>
      <c r="B1348" s="12"/>
      <c r="C1348" s="10"/>
      <c r="D1348" s="10"/>
      <c r="E1348" s="10"/>
      <c r="F1348" s="9"/>
      <c r="G1348" s="11">
        <f>IF(OR(A1348="",B1348=""),"",IF(COUNTIFS($A$6:$A$2005,A1348,$B$6:$B$2005,B1348)&gt;1,"DUPLICATE",""))</f>
        <v/>
      </c>
    </row>
    <row r="1349" spans="1:7">
      <c r="A1349" s="9"/>
      <c r="B1349" s="12"/>
      <c r="C1349" s="10"/>
      <c r="D1349" s="10"/>
      <c r="E1349" s="10"/>
      <c r="F1349" s="9"/>
      <c r="G1349" s="11">
        <f>IF(OR(A1349="",B1349=""),"",IF(COUNTIFS($A$6:$A$2005,A1349,$B$6:$B$2005,B1349)&gt;1,"DUPLICATE",""))</f>
        <v/>
      </c>
    </row>
    <row r="1350" spans="1:7">
      <c r="A1350" s="9"/>
      <c r="B1350" s="12"/>
      <c r="C1350" s="10"/>
      <c r="D1350" s="10"/>
      <c r="E1350" s="10"/>
      <c r="F1350" s="9"/>
      <c r="G1350" s="11">
        <f>IF(OR(A1350="",B1350=""),"",IF(COUNTIFS($A$6:$A$2005,A1350,$B$6:$B$2005,B1350)&gt;1,"DUPLICATE",""))</f>
        <v/>
      </c>
    </row>
    <row r="1351" spans="1:7">
      <c r="A1351" s="9"/>
      <c r="B1351" s="12"/>
      <c r="C1351" s="10"/>
      <c r="D1351" s="10"/>
      <c r="E1351" s="10"/>
      <c r="F1351" s="9"/>
      <c r="G1351" s="11">
        <f>IF(OR(A1351="",B1351=""),"",IF(COUNTIFS($A$6:$A$2005,A1351,$B$6:$B$2005,B1351)&gt;1,"DUPLICATE",""))</f>
        <v/>
      </c>
    </row>
    <row r="1352" spans="1:7">
      <c r="A1352" s="9"/>
      <c r="B1352" s="12"/>
      <c r="C1352" s="10"/>
      <c r="D1352" s="10"/>
      <c r="E1352" s="10"/>
      <c r="F1352" s="9"/>
      <c r="G1352" s="11">
        <f>IF(OR(A1352="",B1352=""),"",IF(COUNTIFS($A$6:$A$2005,A1352,$B$6:$B$2005,B1352)&gt;1,"DUPLICATE",""))</f>
        <v/>
      </c>
    </row>
    <row r="1353" spans="1:7">
      <c r="A1353" s="9"/>
      <c r="B1353" s="12"/>
      <c r="C1353" s="10"/>
      <c r="D1353" s="10"/>
      <c r="E1353" s="10"/>
      <c r="F1353" s="9"/>
      <c r="G1353" s="11">
        <f>IF(OR(A1353="",B1353=""),"",IF(COUNTIFS($A$6:$A$2005,A1353,$B$6:$B$2005,B1353)&gt;1,"DUPLICATE",""))</f>
        <v/>
      </c>
    </row>
    <row r="1354" spans="1:7">
      <c r="A1354" s="9"/>
      <c r="B1354" s="12"/>
      <c r="C1354" s="10"/>
      <c r="D1354" s="10"/>
      <c r="E1354" s="10"/>
      <c r="F1354" s="9"/>
      <c r="G1354" s="11">
        <f>IF(OR(A1354="",B1354=""),"",IF(COUNTIFS($A$6:$A$2005,A1354,$B$6:$B$2005,B1354)&gt;1,"DUPLICATE",""))</f>
        <v/>
      </c>
    </row>
    <row r="1355" spans="1:7">
      <c r="A1355" s="9"/>
      <c r="B1355" s="12"/>
      <c r="C1355" s="10"/>
      <c r="D1355" s="10"/>
      <c r="E1355" s="10"/>
      <c r="F1355" s="9"/>
      <c r="G1355" s="11">
        <f>IF(OR(A1355="",B1355=""),"",IF(COUNTIFS($A$6:$A$2005,A1355,$B$6:$B$2005,B1355)&gt;1,"DUPLICATE",""))</f>
        <v/>
      </c>
    </row>
    <row r="1356" spans="1:7">
      <c r="A1356" s="9"/>
      <c r="B1356" s="12"/>
      <c r="C1356" s="10"/>
      <c r="D1356" s="10"/>
      <c r="E1356" s="10"/>
      <c r="F1356" s="9"/>
      <c r="G1356" s="11">
        <f>IF(OR(A1356="",B1356=""),"",IF(COUNTIFS($A$6:$A$2005,A1356,$B$6:$B$2005,B1356)&gt;1,"DUPLICATE",""))</f>
        <v/>
      </c>
    </row>
    <row r="1357" spans="1:7">
      <c r="A1357" s="9"/>
      <c r="B1357" s="12"/>
      <c r="C1357" s="10"/>
      <c r="D1357" s="10"/>
      <c r="E1357" s="10"/>
      <c r="F1357" s="9"/>
      <c r="G1357" s="11">
        <f>IF(OR(A1357="",B1357=""),"",IF(COUNTIFS($A$6:$A$2005,A1357,$B$6:$B$2005,B1357)&gt;1,"DUPLICATE",""))</f>
        <v/>
      </c>
    </row>
    <row r="1358" spans="1:7">
      <c r="A1358" s="9"/>
      <c r="B1358" s="12"/>
      <c r="C1358" s="10"/>
      <c r="D1358" s="10"/>
      <c r="E1358" s="10"/>
      <c r="F1358" s="9"/>
      <c r="G1358" s="11">
        <f>IF(OR(A1358="",B1358=""),"",IF(COUNTIFS($A$6:$A$2005,A1358,$B$6:$B$2005,B1358)&gt;1,"DUPLICATE",""))</f>
        <v/>
      </c>
    </row>
    <row r="1359" spans="1:7">
      <c r="A1359" s="9"/>
      <c r="B1359" s="12"/>
      <c r="C1359" s="10"/>
      <c r="D1359" s="10"/>
      <c r="E1359" s="10"/>
      <c r="F1359" s="9"/>
      <c r="G1359" s="11">
        <f>IF(OR(A1359="",B1359=""),"",IF(COUNTIFS($A$6:$A$2005,A1359,$B$6:$B$2005,B1359)&gt;1,"DUPLICATE",""))</f>
        <v/>
      </c>
    </row>
    <row r="1360" spans="1:7">
      <c r="A1360" s="9"/>
      <c r="B1360" s="12"/>
      <c r="C1360" s="10"/>
      <c r="D1360" s="10"/>
      <c r="E1360" s="10"/>
      <c r="F1360" s="9"/>
      <c r="G1360" s="11">
        <f>IF(OR(A1360="",B1360=""),"",IF(COUNTIFS($A$6:$A$2005,A1360,$B$6:$B$2005,B1360)&gt;1,"DUPLICATE",""))</f>
        <v/>
      </c>
    </row>
    <row r="1361" spans="1:7">
      <c r="A1361" s="9"/>
      <c r="B1361" s="12"/>
      <c r="C1361" s="10"/>
      <c r="D1361" s="10"/>
      <c r="E1361" s="10"/>
      <c r="F1361" s="9"/>
      <c r="G1361" s="11">
        <f>IF(OR(A1361="",B1361=""),"",IF(COUNTIFS($A$6:$A$2005,A1361,$B$6:$B$2005,B1361)&gt;1,"DUPLICATE",""))</f>
        <v/>
      </c>
    </row>
    <row r="1362" spans="1:7">
      <c r="A1362" s="9"/>
      <c r="B1362" s="12"/>
      <c r="C1362" s="10"/>
      <c r="D1362" s="10"/>
      <c r="E1362" s="10"/>
      <c r="F1362" s="9"/>
      <c r="G1362" s="11">
        <f>IF(OR(A1362="",B1362=""),"",IF(COUNTIFS($A$6:$A$2005,A1362,$B$6:$B$2005,B1362)&gt;1,"DUPLICATE",""))</f>
        <v/>
      </c>
    </row>
    <row r="1363" spans="1:7">
      <c r="A1363" s="9"/>
      <c r="B1363" s="12"/>
      <c r="C1363" s="10"/>
      <c r="D1363" s="10"/>
      <c r="E1363" s="10"/>
      <c r="F1363" s="9"/>
      <c r="G1363" s="11">
        <f>IF(OR(A1363="",B1363=""),"",IF(COUNTIFS($A$6:$A$2005,A1363,$B$6:$B$2005,B1363)&gt;1,"DUPLICATE",""))</f>
        <v/>
      </c>
    </row>
    <row r="1364" spans="1:7">
      <c r="A1364" s="9"/>
      <c r="B1364" s="12"/>
      <c r="C1364" s="10"/>
      <c r="D1364" s="10"/>
      <c r="E1364" s="10"/>
      <c r="F1364" s="9"/>
      <c r="G1364" s="11">
        <f>IF(OR(A1364="",B1364=""),"",IF(COUNTIFS($A$6:$A$2005,A1364,$B$6:$B$2005,B1364)&gt;1,"DUPLICATE",""))</f>
        <v/>
      </c>
    </row>
    <row r="1365" spans="1:7">
      <c r="A1365" s="9"/>
      <c r="B1365" s="12"/>
      <c r="C1365" s="10"/>
      <c r="D1365" s="10"/>
      <c r="E1365" s="10"/>
      <c r="F1365" s="9"/>
      <c r="G1365" s="11">
        <f>IF(OR(A1365="",B1365=""),"",IF(COUNTIFS($A$6:$A$2005,A1365,$B$6:$B$2005,B1365)&gt;1,"DUPLICATE",""))</f>
        <v/>
      </c>
    </row>
    <row r="1366" spans="1:7">
      <c r="A1366" s="9"/>
      <c r="B1366" s="12"/>
      <c r="C1366" s="10"/>
      <c r="D1366" s="10"/>
      <c r="E1366" s="10"/>
      <c r="F1366" s="9"/>
      <c r="G1366" s="11">
        <f>IF(OR(A1366="",B1366=""),"",IF(COUNTIFS($A$6:$A$2005,A1366,$B$6:$B$2005,B1366)&gt;1,"DUPLICATE",""))</f>
        <v/>
      </c>
    </row>
    <row r="1367" spans="1:7">
      <c r="A1367" s="9"/>
      <c r="B1367" s="12"/>
      <c r="C1367" s="10"/>
      <c r="D1367" s="10"/>
      <c r="E1367" s="10"/>
      <c r="F1367" s="9"/>
      <c r="G1367" s="11">
        <f>IF(OR(A1367="",B1367=""),"",IF(COUNTIFS($A$6:$A$2005,A1367,$B$6:$B$2005,B1367)&gt;1,"DUPLICATE",""))</f>
        <v/>
      </c>
    </row>
    <row r="1368" spans="1:7">
      <c r="A1368" s="9"/>
      <c r="B1368" s="12"/>
      <c r="C1368" s="10"/>
      <c r="D1368" s="10"/>
      <c r="E1368" s="10"/>
      <c r="F1368" s="9"/>
      <c r="G1368" s="11">
        <f>IF(OR(A1368="",B1368=""),"",IF(COUNTIFS($A$6:$A$2005,A1368,$B$6:$B$2005,B1368)&gt;1,"DUPLICATE",""))</f>
        <v/>
      </c>
    </row>
    <row r="1369" spans="1:7">
      <c r="A1369" s="9"/>
      <c r="B1369" s="12"/>
      <c r="C1369" s="10"/>
      <c r="D1369" s="10"/>
      <c r="E1369" s="10"/>
      <c r="F1369" s="9"/>
      <c r="G1369" s="11">
        <f>IF(OR(A1369="",B1369=""),"",IF(COUNTIFS($A$6:$A$2005,A1369,$B$6:$B$2005,B1369)&gt;1,"DUPLICATE",""))</f>
        <v/>
      </c>
    </row>
    <row r="1370" spans="1:7">
      <c r="A1370" s="9"/>
      <c r="B1370" s="12"/>
      <c r="C1370" s="10"/>
      <c r="D1370" s="10"/>
      <c r="E1370" s="10"/>
      <c r="F1370" s="9"/>
      <c r="G1370" s="11">
        <f>IF(OR(A1370="",B1370=""),"",IF(COUNTIFS($A$6:$A$2005,A1370,$B$6:$B$2005,B1370)&gt;1,"DUPLICATE",""))</f>
        <v/>
      </c>
    </row>
    <row r="1371" spans="1:7">
      <c r="A1371" s="9"/>
      <c r="B1371" s="12"/>
      <c r="C1371" s="10"/>
      <c r="D1371" s="10"/>
      <c r="E1371" s="10"/>
      <c r="F1371" s="9"/>
      <c r="G1371" s="11">
        <f>IF(OR(A1371="",B1371=""),"",IF(COUNTIFS($A$6:$A$2005,A1371,$B$6:$B$2005,B1371)&gt;1,"DUPLICATE",""))</f>
        <v/>
      </c>
    </row>
    <row r="1372" spans="1:7">
      <c r="A1372" s="9"/>
      <c r="B1372" s="12"/>
      <c r="C1372" s="10"/>
      <c r="D1372" s="10"/>
      <c r="E1372" s="10"/>
      <c r="F1372" s="9"/>
      <c r="G1372" s="11">
        <f>IF(OR(A1372="",B1372=""),"",IF(COUNTIFS($A$6:$A$2005,A1372,$B$6:$B$2005,B1372)&gt;1,"DUPLICATE",""))</f>
        <v/>
      </c>
    </row>
    <row r="1373" spans="1:7">
      <c r="A1373" s="9"/>
      <c r="B1373" s="12"/>
      <c r="C1373" s="10"/>
      <c r="D1373" s="10"/>
      <c r="E1373" s="10"/>
      <c r="F1373" s="9"/>
      <c r="G1373" s="11">
        <f>IF(OR(A1373="",B1373=""),"",IF(COUNTIFS($A$6:$A$2005,A1373,$B$6:$B$2005,B1373)&gt;1,"DUPLICATE",""))</f>
        <v/>
      </c>
    </row>
    <row r="1374" spans="1:7">
      <c r="A1374" s="9"/>
      <c r="B1374" s="12"/>
      <c r="C1374" s="10"/>
      <c r="D1374" s="10"/>
      <c r="E1374" s="10"/>
      <c r="F1374" s="9"/>
      <c r="G1374" s="11">
        <f>IF(OR(A1374="",B1374=""),"",IF(COUNTIFS($A$6:$A$2005,A1374,$B$6:$B$2005,B1374)&gt;1,"DUPLICATE",""))</f>
        <v/>
      </c>
    </row>
    <row r="1375" spans="1:7">
      <c r="A1375" s="9"/>
      <c r="B1375" s="12"/>
      <c r="C1375" s="10"/>
      <c r="D1375" s="10"/>
      <c r="E1375" s="10"/>
      <c r="F1375" s="9"/>
      <c r="G1375" s="11">
        <f>IF(OR(A1375="",B1375=""),"",IF(COUNTIFS($A$6:$A$2005,A1375,$B$6:$B$2005,B1375)&gt;1,"DUPLICATE",""))</f>
        <v/>
      </c>
    </row>
    <row r="1376" spans="1:7">
      <c r="A1376" s="9"/>
      <c r="B1376" s="12"/>
      <c r="C1376" s="10"/>
      <c r="D1376" s="10"/>
      <c r="E1376" s="10"/>
      <c r="F1376" s="9"/>
      <c r="G1376" s="11">
        <f>IF(OR(A1376="",B1376=""),"",IF(COUNTIFS($A$6:$A$2005,A1376,$B$6:$B$2005,B1376)&gt;1,"DUPLICATE",""))</f>
        <v/>
      </c>
    </row>
    <row r="1377" spans="1:7">
      <c r="A1377" s="9"/>
      <c r="B1377" s="12"/>
      <c r="C1377" s="10"/>
      <c r="D1377" s="10"/>
      <c r="E1377" s="10"/>
      <c r="F1377" s="9"/>
      <c r="G1377" s="11">
        <f>IF(OR(A1377="",B1377=""),"",IF(COUNTIFS($A$6:$A$2005,A1377,$B$6:$B$2005,B1377)&gt;1,"DUPLICATE",""))</f>
        <v/>
      </c>
    </row>
    <row r="1378" spans="1:7">
      <c r="A1378" s="9"/>
      <c r="B1378" s="12"/>
      <c r="C1378" s="10"/>
      <c r="D1378" s="10"/>
      <c r="E1378" s="10"/>
      <c r="F1378" s="9"/>
      <c r="G1378" s="11">
        <f>IF(OR(A1378="",B1378=""),"",IF(COUNTIFS($A$6:$A$2005,A1378,$B$6:$B$2005,B1378)&gt;1,"DUPLICATE",""))</f>
        <v/>
      </c>
    </row>
    <row r="1379" spans="1:7">
      <c r="A1379" s="9"/>
      <c r="B1379" s="12"/>
      <c r="C1379" s="10"/>
      <c r="D1379" s="10"/>
      <c r="E1379" s="10"/>
      <c r="F1379" s="9"/>
      <c r="G1379" s="11">
        <f>IF(OR(A1379="",B1379=""),"",IF(COUNTIFS($A$6:$A$2005,A1379,$B$6:$B$2005,B1379)&gt;1,"DUPLICATE",""))</f>
        <v/>
      </c>
    </row>
    <row r="1380" spans="1:7">
      <c r="A1380" s="9"/>
      <c r="B1380" s="12"/>
      <c r="C1380" s="10"/>
      <c r="D1380" s="10"/>
      <c r="E1380" s="10"/>
      <c r="F1380" s="9"/>
      <c r="G1380" s="11">
        <f>IF(OR(A1380="",B1380=""),"",IF(COUNTIFS($A$6:$A$2005,A1380,$B$6:$B$2005,B1380)&gt;1,"DUPLICATE",""))</f>
        <v/>
      </c>
    </row>
    <row r="1381" spans="1:7">
      <c r="A1381" s="9"/>
      <c r="B1381" s="12"/>
      <c r="C1381" s="10"/>
      <c r="D1381" s="10"/>
      <c r="E1381" s="10"/>
      <c r="F1381" s="9"/>
      <c r="G1381" s="11">
        <f>IF(OR(A1381="",B1381=""),"",IF(COUNTIFS($A$6:$A$2005,A1381,$B$6:$B$2005,B1381)&gt;1,"DUPLICATE",""))</f>
        <v/>
      </c>
    </row>
    <row r="1382" spans="1:7">
      <c r="A1382" s="9"/>
      <c r="B1382" s="12"/>
      <c r="C1382" s="10"/>
      <c r="D1382" s="10"/>
      <c r="E1382" s="10"/>
      <c r="F1382" s="9"/>
      <c r="G1382" s="11">
        <f>IF(OR(A1382="",B1382=""),"",IF(COUNTIFS($A$6:$A$2005,A1382,$B$6:$B$2005,B1382)&gt;1,"DUPLICATE",""))</f>
        <v/>
      </c>
    </row>
    <row r="1383" spans="1:7">
      <c r="A1383" s="9"/>
      <c r="B1383" s="12"/>
      <c r="C1383" s="10"/>
      <c r="D1383" s="10"/>
      <c r="E1383" s="10"/>
      <c r="F1383" s="9"/>
      <c r="G1383" s="11">
        <f>IF(OR(A1383="",B1383=""),"",IF(COUNTIFS($A$6:$A$2005,A1383,$B$6:$B$2005,B1383)&gt;1,"DUPLICATE",""))</f>
        <v/>
      </c>
    </row>
    <row r="1384" spans="1:7">
      <c r="A1384" s="9"/>
      <c r="B1384" s="12"/>
      <c r="C1384" s="10"/>
      <c r="D1384" s="10"/>
      <c r="E1384" s="10"/>
      <c r="F1384" s="9"/>
      <c r="G1384" s="11">
        <f>IF(OR(A1384="",B1384=""),"",IF(COUNTIFS($A$6:$A$2005,A1384,$B$6:$B$2005,B1384)&gt;1,"DUPLICATE",""))</f>
        <v/>
      </c>
    </row>
    <row r="1385" spans="1:7">
      <c r="A1385" s="9"/>
      <c r="B1385" s="12"/>
      <c r="C1385" s="10"/>
      <c r="D1385" s="10"/>
      <c r="E1385" s="10"/>
      <c r="F1385" s="9"/>
      <c r="G1385" s="11">
        <f>IF(OR(A1385="",B1385=""),"",IF(COUNTIFS($A$6:$A$2005,A1385,$B$6:$B$2005,B1385)&gt;1,"DUPLICATE",""))</f>
        <v/>
      </c>
    </row>
    <row r="1386" spans="1:7">
      <c r="A1386" s="9"/>
      <c r="B1386" s="12"/>
      <c r="C1386" s="10"/>
      <c r="D1386" s="10"/>
      <c r="E1386" s="10"/>
      <c r="F1386" s="9"/>
      <c r="G1386" s="11">
        <f>IF(OR(A1386="",B1386=""),"",IF(COUNTIFS($A$6:$A$2005,A1386,$B$6:$B$2005,B1386)&gt;1,"DUPLICATE",""))</f>
        <v/>
      </c>
    </row>
    <row r="1387" spans="1:7">
      <c r="A1387" s="9"/>
      <c r="B1387" s="12"/>
      <c r="C1387" s="10"/>
      <c r="D1387" s="10"/>
      <c r="E1387" s="10"/>
      <c r="F1387" s="9"/>
      <c r="G1387" s="11">
        <f>IF(OR(A1387="",B1387=""),"",IF(COUNTIFS($A$6:$A$2005,A1387,$B$6:$B$2005,B1387)&gt;1,"DUPLICATE",""))</f>
        <v/>
      </c>
    </row>
    <row r="1388" spans="1:7">
      <c r="A1388" s="9"/>
      <c r="B1388" s="12"/>
      <c r="C1388" s="10"/>
      <c r="D1388" s="10"/>
      <c r="E1388" s="10"/>
      <c r="F1388" s="9"/>
      <c r="G1388" s="11">
        <f>IF(OR(A1388="",B1388=""),"",IF(COUNTIFS($A$6:$A$2005,A1388,$B$6:$B$2005,B1388)&gt;1,"DUPLICATE",""))</f>
        <v/>
      </c>
    </row>
    <row r="1389" spans="1:7">
      <c r="A1389" s="9"/>
      <c r="B1389" s="12"/>
      <c r="C1389" s="10"/>
      <c r="D1389" s="10"/>
      <c r="E1389" s="10"/>
      <c r="F1389" s="9"/>
      <c r="G1389" s="11">
        <f>IF(OR(A1389="",B1389=""),"",IF(COUNTIFS($A$6:$A$2005,A1389,$B$6:$B$2005,B1389)&gt;1,"DUPLICATE",""))</f>
        <v/>
      </c>
    </row>
    <row r="1390" spans="1:7">
      <c r="A1390" s="9"/>
      <c r="B1390" s="12"/>
      <c r="C1390" s="10"/>
      <c r="D1390" s="10"/>
      <c r="E1390" s="10"/>
      <c r="F1390" s="9"/>
      <c r="G1390" s="11">
        <f>IF(OR(A1390="",B1390=""),"",IF(COUNTIFS($A$6:$A$2005,A1390,$B$6:$B$2005,B1390)&gt;1,"DUPLICATE",""))</f>
        <v/>
      </c>
    </row>
    <row r="1391" spans="1:7">
      <c r="A1391" s="9"/>
      <c r="B1391" s="12"/>
      <c r="C1391" s="10"/>
      <c r="D1391" s="10"/>
      <c r="E1391" s="10"/>
      <c r="F1391" s="9"/>
      <c r="G1391" s="11">
        <f>IF(OR(A1391="",B1391=""),"",IF(COUNTIFS($A$6:$A$2005,A1391,$B$6:$B$2005,B1391)&gt;1,"DUPLICATE",""))</f>
        <v/>
      </c>
    </row>
    <row r="1392" spans="1:7">
      <c r="A1392" s="9"/>
      <c r="B1392" s="12"/>
      <c r="C1392" s="10"/>
      <c r="D1392" s="10"/>
      <c r="E1392" s="10"/>
      <c r="F1392" s="9"/>
      <c r="G1392" s="11">
        <f>IF(OR(A1392="",B1392=""),"",IF(COUNTIFS($A$6:$A$2005,A1392,$B$6:$B$2005,B1392)&gt;1,"DUPLICATE",""))</f>
        <v/>
      </c>
    </row>
    <row r="1393" spans="1:7">
      <c r="A1393" s="9"/>
      <c r="B1393" s="12"/>
      <c r="C1393" s="10"/>
      <c r="D1393" s="10"/>
      <c r="E1393" s="10"/>
      <c r="F1393" s="9"/>
      <c r="G1393" s="11">
        <f>IF(OR(A1393="",B1393=""),"",IF(COUNTIFS($A$6:$A$2005,A1393,$B$6:$B$2005,B1393)&gt;1,"DUPLICATE",""))</f>
        <v/>
      </c>
    </row>
    <row r="1394" spans="1:7">
      <c r="A1394" s="9"/>
      <c r="B1394" s="12"/>
      <c r="C1394" s="10"/>
      <c r="D1394" s="10"/>
      <c r="E1394" s="10"/>
      <c r="F1394" s="9"/>
      <c r="G1394" s="11">
        <f>IF(OR(A1394="",B1394=""),"",IF(COUNTIFS($A$6:$A$2005,A1394,$B$6:$B$2005,B1394)&gt;1,"DUPLICATE",""))</f>
        <v/>
      </c>
    </row>
    <row r="1395" spans="1:7">
      <c r="A1395" s="9"/>
      <c r="B1395" s="12"/>
      <c r="C1395" s="10"/>
      <c r="D1395" s="10"/>
      <c r="E1395" s="10"/>
      <c r="F1395" s="9"/>
      <c r="G1395" s="11">
        <f>IF(OR(A1395="",B1395=""),"",IF(COUNTIFS($A$6:$A$2005,A1395,$B$6:$B$2005,B1395)&gt;1,"DUPLICATE",""))</f>
        <v/>
      </c>
    </row>
    <row r="1396" spans="1:7">
      <c r="A1396" s="9"/>
      <c r="B1396" s="12"/>
      <c r="C1396" s="10"/>
      <c r="D1396" s="10"/>
      <c r="E1396" s="10"/>
      <c r="F1396" s="9"/>
      <c r="G1396" s="11">
        <f>IF(OR(A1396="",B1396=""),"",IF(COUNTIFS($A$6:$A$2005,A1396,$B$6:$B$2005,B1396)&gt;1,"DUPLICATE",""))</f>
        <v/>
      </c>
    </row>
    <row r="1397" spans="1:7">
      <c r="A1397" s="9"/>
      <c r="B1397" s="12"/>
      <c r="C1397" s="10"/>
      <c r="D1397" s="10"/>
      <c r="E1397" s="10"/>
      <c r="F1397" s="9"/>
      <c r="G1397" s="11">
        <f>IF(OR(A1397="",B1397=""),"",IF(COUNTIFS($A$6:$A$2005,A1397,$B$6:$B$2005,B1397)&gt;1,"DUPLICATE",""))</f>
        <v/>
      </c>
    </row>
    <row r="1398" spans="1:7">
      <c r="A1398" s="9"/>
      <c r="B1398" s="12"/>
      <c r="C1398" s="10"/>
      <c r="D1398" s="10"/>
      <c r="E1398" s="10"/>
      <c r="F1398" s="9"/>
      <c r="G1398" s="11">
        <f>IF(OR(A1398="",B1398=""),"",IF(COUNTIFS($A$6:$A$2005,A1398,$B$6:$B$2005,B1398)&gt;1,"DUPLICATE",""))</f>
        <v/>
      </c>
    </row>
    <row r="1399" spans="1:7">
      <c r="A1399" s="9"/>
      <c r="B1399" s="12"/>
      <c r="C1399" s="10"/>
      <c r="D1399" s="10"/>
      <c r="E1399" s="10"/>
      <c r="F1399" s="9"/>
      <c r="G1399" s="11">
        <f>IF(OR(A1399="",B1399=""),"",IF(COUNTIFS($A$6:$A$2005,A1399,$B$6:$B$2005,B1399)&gt;1,"DUPLICATE",""))</f>
        <v/>
      </c>
    </row>
    <row r="1400" spans="1:7">
      <c r="A1400" s="9"/>
      <c r="B1400" s="12"/>
      <c r="C1400" s="10"/>
      <c r="D1400" s="10"/>
      <c r="E1400" s="10"/>
      <c r="F1400" s="9"/>
      <c r="G1400" s="11">
        <f>IF(OR(A1400="",B1400=""),"",IF(COUNTIFS($A$6:$A$2005,A1400,$B$6:$B$2005,B1400)&gt;1,"DUPLICATE",""))</f>
        <v/>
      </c>
    </row>
    <row r="1401" spans="1:7">
      <c r="A1401" s="9"/>
      <c r="B1401" s="12"/>
      <c r="C1401" s="10"/>
      <c r="D1401" s="10"/>
      <c r="E1401" s="10"/>
      <c r="F1401" s="9"/>
      <c r="G1401" s="11">
        <f>IF(OR(A1401="",B1401=""),"",IF(COUNTIFS($A$6:$A$2005,A1401,$B$6:$B$2005,B1401)&gt;1,"DUPLICATE",""))</f>
        <v/>
      </c>
    </row>
    <row r="1402" spans="1:7">
      <c r="A1402" s="9"/>
      <c r="B1402" s="12"/>
      <c r="C1402" s="10"/>
      <c r="D1402" s="10"/>
      <c r="E1402" s="10"/>
      <c r="F1402" s="9"/>
      <c r="G1402" s="11">
        <f>IF(OR(A1402="",B1402=""),"",IF(COUNTIFS($A$6:$A$2005,A1402,$B$6:$B$2005,B1402)&gt;1,"DUPLICATE",""))</f>
        <v/>
      </c>
    </row>
    <row r="1403" spans="1:7">
      <c r="A1403" s="9"/>
      <c r="B1403" s="12"/>
      <c r="C1403" s="10"/>
      <c r="D1403" s="10"/>
      <c r="E1403" s="10"/>
      <c r="F1403" s="9"/>
      <c r="G1403" s="11">
        <f>IF(OR(A1403="",B1403=""),"",IF(COUNTIFS($A$6:$A$2005,A1403,$B$6:$B$2005,B1403)&gt;1,"DUPLICATE",""))</f>
        <v/>
      </c>
    </row>
    <row r="1404" spans="1:7">
      <c r="A1404" s="9"/>
      <c r="B1404" s="12"/>
      <c r="C1404" s="10"/>
      <c r="D1404" s="10"/>
      <c r="E1404" s="10"/>
      <c r="F1404" s="9"/>
      <c r="G1404" s="11">
        <f>IF(OR(A1404="",B1404=""),"",IF(COUNTIFS($A$6:$A$2005,A1404,$B$6:$B$2005,B1404)&gt;1,"DUPLICATE",""))</f>
        <v/>
      </c>
    </row>
    <row r="1405" spans="1:7">
      <c r="A1405" s="9"/>
      <c r="B1405" s="12"/>
      <c r="C1405" s="10"/>
      <c r="D1405" s="10"/>
      <c r="E1405" s="10"/>
      <c r="F1405" s="9"/>
      <c r="G1405" s="11">
        <f>IF(OR(A1405="",B1405=""),"",IF(COUNTIFS($A$6:$A$2005,A1405,$B$6:$B$2005,B1405)&gt;1,"DUPLICATE",""))</f>
        <v/>
      </c>
    </row>
    <row r="1406" spans="1:7">
      <c r="A1406" s="9"/>
      <c r="B1406" s="12"/>
      <c r="C1406" s="10"/>
      <c r="D1406" s="10"/>
      <c r="E1406" s="10"/>
      <c r="F1406" s="9"/>
      <c r="G1406" s="11">
        <f>IF(OR(A1406="",B1406=""),"",IF(COUNTIFS($A$6:$A$2005,A1406,$B$6:$B$2005,B1406)&gt;1,"DUPLICATE",""))</f>
        <v/>
      </c>
    </row>
    <row r="1407" spans="1:7">
      <c r="A1407" s="9"/>
      <c r="B1407" s="12"/>
      <c r="C1407" s="10"/>
      <c r="D1407" s="10"/>
      <c r="E1407" s="10"/>
      <c r="F1407" s="9"/>
      <c r="G1407" s="11">
        <f>IF(OR(A1407="",B1407=""),"",IF(COUNTIFS($A$6:$A$2005,A1407,$B$6:$B$2005,B1407)&gt;1,"DUPLICATE",""))</f>
        <v/>
      </c>
    </row>
    <row r="1408" spans="1:7">
      <c r="A1408" s="9"/>
      <c r="B1408" s="12"/>
      <c r="C1408" s="10"/>
      <c r="D1408" s="10"/>
      <c r="E1408" s="10"/>
      <c r="F1408" s="9"/>
      <c r="G1408" s="11">
        <f>IF(OR(A1408="",B1408=""),"",IF(COUNTIFS($A$6:$A$2005,A1408,$B$6:$B$2005,B1408)&gt;1,"DUPLICATE",""))</f>
        <v/>
      </c>
    </row>
    <row r="1409" spans="1:7">
      <c r="A1409" s="9"/>
      <c r="B1409" s="12"/>
      <c r="C1409" s="10"/>
      <c r="D1409" s="10"/>
      <c r="E1409" s="10"/>
      <c r="F1409" s="9"/>
      <c r="G1409" s="11">
        <f>IF(OR(A1409="",B1409=""),"",IF(COUNTIFS($A$6:$A$2005,A1409,$B$6:$B$2005,B1409)&gt;1,"DUPLICATE",""))</f>
        <v/>
      </c>
    </row>
    <row r="1410" spans="1:7">
      <c r="A1410" s="9"/>
      <c r="B1410" s="12"/>
      <c r="C1410" s="10"/>
      <c r="D1410" s="10"/>
      <c r="E1410" s="10"/>
      <c r="F1410" s="9"/>
      <c r="G1410" s="11">
        <f>IF(OR(A1410="",B1410=""),"",IF(COUNTIFS($A$6:$A$2005,A1410,$B$6:$B$2005,B1410)&gt;1,"DUPLICATE",""))</f>
        <v/>
      </c>
    </row>
    <row r="1411" spans="1:7">
      <c r="A1411" s="9"/>
      <c r="B1411" s="12"/>
      <c r="C1411" s="10"/>
      <c r="D1411" s="10"/>
      <c r="E1411" s="10"/>
      <c r="F1411" s="9"/>
      <c r="G1411" s="11">
        <f>IF(OR(A1411="",B1411=""),"",IF(COUNTIFS($A$6:$A$2005,A1411,$B$6:$B$2005,B1411)&gt;1,"DUPLICATE",""))</f>
        <v/>
      </c>
    </row>
    <row r="1412" spans="1:7">
      <c r="A1412" s="9"/>
      <c r="B1412" s="12"/>
      <c r="C1412" s="10"/>
      <c r="D1412" s="10"/>
      <c r="E1412" s="10"/>
      <c r="F1412" s="9"/>
      <c r="G1412" s="11">
        <f>IF(OR(A1412="",B1412=""),"",IF(COUNTIFS($A$6:$A$2005,A1412,$B$6:$B$2005,B1412)&gt;1,"DUPLICATE",""))</f>
        <v/>
      </c>
    </row>
    <row r="1413" spans="1:7">
      <c r="A1413" s="9"/>
      <c r="B1413" s="12"/>
      <c r="C1413" s="10"/>
      <c r="D1413" s="10"/>
      <c r="E1413" s="10"/>
      <c r="F1413" s="9"/>
      <c r="G1413" s="11">
        <f>IF(OR(A1413="",B1413=""),"",IF(COUNTIFS($A$6:$A$2005,A1413,$B$6:$B$2005,B1413)&gt;1,"DUPLICATE",""))</f>
        <v/>
      </c>
    </row>
    <row r="1414" spans="1:7">
      <c r="A1414" s="9"/>
      <c r="B1414" s="12"/>
      <c r="C1414" s="10"/>
      <c r="D1414" s="10"/>
      <c r="E1414" s="10"/>
      <c r="F1414" s="9"/>
      <c r="G1414" s="11">
        <f>IF(OR(A1414="",B1414=""),"",IF(COUNTIFS($A$6:$A$2005,A1414,$B$6:$B$2005,B1414)&gt;1,"DUPLICATE",""))</f>
        <v/>
      </c>
    </row>
    <row r="1415" spans="1:7">
      <c r="A1415" s="9"/>
      <c r="B1415" s="12"/>
      <c r="C1415" s="10"/>
      <c r="D1415" s="10"/>
      <c r="E1415" s="10"/>
      <c r="F1415" s="9"/>
      <c r="G1415" s="11">
        <f>IF(OR(A1415="",B1415=""),"",IF(COUNTIFS($A$6:$A$2005,A1415,$B$6:$B$2005,B1415)&gt;1,"DUPLICATE",""))</f>
        <v/>
      </c>
    </row>
    <row r="1416" spans="1:7">
      <c r="A1416" s="9"/>
      <c r="B1416" s="12"/>
      <c r="C1416" s="10"/>
      <c r="D1416" s="10"/>
      <c r="E1416" s="10"/>
      <c r="F1416" s="9"/>
      <c r="G1416" s="11">
        <f>IF(OR(A1416="",B1416=""),"",IF(COUNTIFS($A$6:$A$2005,A1416,$B$6:$B$2005,B1416)&gt;1,"DUPLICATE",""))</f>
        <v/>
      </c>
    </row>
    <row r="1417" spans="1:7">
      <c r="A1417" s="9"/>
      <c r="B1417" s="12"/>
      <c r="C1417" s="10"/>
      <c r="D1417" s="10"/>
      <c r="E1417" s="10"/>
      <c r="F1417" s="9"/>
      <c r="G1417" s="11">
        <f>IF(OR(A1417="",B1417=""),"",IF(COUNTIFS($A$6:$A$2005,A1417,$B$6:$B$2005,B1417)&gt;1,"DUPLICATE",""))</f>
        <v/>
      </c>
    </row>
    <row r="1418" spans="1:7">
      <c r="A1418" s="9"/>
      <c r="B1418" s="12"/>
      <c r="C1418" s="10"/>
      <c r="D1418" s="10"/>
      <c r="E1418" s="10"/>
      <c r="F1418" s="9"/>
      <c r="G1418" s="11">
        <f>IF(OR(A1418="",B1418=""),"",IF(COUNTIFS($A$6:$A$2005,A1418,$B$6:$B$2005,B1418)&gt;1,"DUPLICATE",""))</f>
        <v/>
      </c>
    </row>
    <row r="1419" spans="1:7">
      <c r="A1419" s="9"/>
      <c r="B1419" s="12"/>
      <c r="C1419" s="10"/>
      <c r="D1419" s="10"/>
      <c r="E1419" s="10"/>
      <c r="F1419" s="9"/>
      <c r="G1419" s="11">
        <f>IF(OR(A1419="",B1419=""),"",IF(COUNTIFS($A$6:$A$2005,A1419,$B$6:$B$2005,B1419)&gt;1,"DUPLICATE",""))</f>
        <v/>
      </c>
    </row>
    <row r="1420" spans="1:7">
      <c r="A1420" s="9"/>
      <c r="B1420" s="12"/>
      <c r="C1420" s="10"/>
      <c r="D1420" s="10"/>
      <c r="E1420" s="10"/>
      <c r="F1420" s="9"/>
      <c r="G1420" s="11">
        <f>IF(OR(A1420="",B1420=""),"",IF(COUNTIFS($A$6:$A$2005,A1420,$B$6:$B$2005,B1420)&gt;1,"DUPLICATE",""))</f>
        <v/>
      </c>
    </row>
    <row r="1421" spans="1:7">
      <c r="A1421" s="9"/>
      <c r="B1421" s="12"/>
      <c r="C1421" s="10"/>
      <c r="D1421" s="10"/>
      <c r="E1421" s="10"/>
      <c r="F1421" s="9"/>
      <c r="G1421" s="11">
        <f>IF(OR(A1421="",B1421=""),"",IF(COUNTIFS($A$6:$A$2005,A1421,$B$6:$B$2005,B1421)&gt;1,"DUPLICATE",""))</f>
        <v/>
      </c>
    </row>
    <row r="1422" spans="1:7">
      <c r="A1422" s="9"/>
      <c r="B1422" s="12"/>
      <c r="C1422" s="10"/>
      <c r="D1422" s="10"/>
      <c r="E1422" s="10"/>
      <c r="F1422" s="9"/>
      <c r="G1422" s="11">
        <f>IF(OR(A1422="",B1422=""),"",IF(COUNTIFS($A$6:$A$2005,A1422,$B$6:$B$2005,B1422)&gt;1,"DUPLICATE",""))</f>
        <v/>
      </c>
    </row>
    <row r="1423" spans="1:7">
      <c r="A1423" s="9"/>
      <c r="B1423" s="12"/>
      <c r="C1423" s="10"/>
      <c r="D1423" s="10"/>
      <c r="E1423" s="10"/>
      <c r="F1423" s="9"/>
      <c r="G1423" s="11">
        <f>IF(OR(A1423="",B1423=""),"",IF(COUNTIFS($A$6:$A$2005,A1423,$B$6:$B$2005,B1423)&gt;1,"DUPLICATE",""))</f>
        <v/>
      </c>
    </row>
    <row r="1424" spans="1:7">
      <c r="A1424" s="9"/>
      <c r="B1424" s="12"/>
      <c r="C1424" s="10"/>
      <c r="D1424" s="10"/>
      <c r="E1424" s="10"/>
      <c r="F1424" s="9"/>
      <c r="G1424" s="11">
        <f>IF(OR(A1424="",B1424=""),"",IF(COUNTIFS($A$6:$A$2005,A1424,$B$6:$B$2005,B1424)&gt;1,"DUPLICATE",""))</f>
        <v/>
      </c>
    </row>
    <row r="1425" spans="1:7">
      <c r="A1425" s="9"/>
      <c r="B1425" s="12"/>
      <c r="C1425" s="10"/>
      <c r="D1425" s="10"/>
      <c r="E1425" s="10"/>
      <c r="F1425" s="9"/>
      <c r="G1425" s="11">
        <f>IF(OR(A1425="",B1425=""),"",IF(COUNTIFS($A$6:$A$2005,A1425,$B$6:$B$2005,B1425)&gt;1,"DUPLICATE",""))</f>
        <v/>
      </c>
    </row>
    <row r="1426" spans="1:7">
      <c r="A1426" s="9"/>
      <c r="B1426" s="12"/>
      <c r="C1426" s="10"/>
      <c r="D1426" s="10"/>
      <c r="E1426" s="10"/>
      <c r="F1426" s="9"/>
      <c r="G1426" s="11">
        <f>IF(OR(A1426="",B1426=""),"",IF(COUNTIFS($A$6:$A$2005,A1426,$B$6:$B$2005,B1426)&gt;1,"DUPLICATE",""))</f>
        <v/>
      </c>
    </row>
    <row r="1427" spans="1:7">
      <c r="A1427" s="9"/>
      <c r="B1427" s="12"/>
      <c r="C1427" s="10"/>
      <c r="D1427" s="10"/>
      <c r="E1427" s="10"/>
      <c r="F1427" s="9"/>
      <c r="G1427" s="11">
        <f>IF(OR(A1427="",B1427=""),"",IF(COUNTIFS($A$6:$A$2005,A1427,$B$6:$B$2005,B1427)&gt;1,"DUPLICATE",""))</f>
        <v/>
      </c>
    </row>
    <row r="1428" spans="1:7">
      <c r="A1428" s="9"/>
      <c r="B1428" s="12"/>
      <c r="C1428" s="10"/>
      <c r="D1428" s="10"/>
      <c r="E1428" s="10"/>
      <c r="F1428" s="9"/>
      <c r="G1428" s="11">
        <f>IF(OR(A1428="",B1428=""),"",IF(COUNTIFS($A$6:$A$2005,A1428,$B$6:$B$2005,B1428)&gt;1,"DUPLICATE",""))</f>
        <v/>
      </c>
    </row>
    <row r="1429" spans="1:7">
      <c r="A1429" s="9"/>
      <c r="B1429" s="12"/>
      <c r="C1429" s="10"/>
      <c r="D1429" s="10"/>
      <c r="E1429" s="10"/>
      <c r="F1429" s="9"/>
      <c r="G1429" s="11">
        <f>IF(OR(A1429="",B1429=""),"",IF(COUNTIFS($A$6:$A$2005,A1429,$B$6:$B$2005,B1429)&gt;1,"DUPLICATE",""))</f>
        <v/>
      </c>
    </row>
    <row r="1430" spans="1:7">
      <c r="A1430" s="9"/>
      <c r="B1430" s="12"/>
      <c r="C1430" s="10"/>
      <c r="D1430" s="10"/>
      <c r="E1430" s="10"/>
      <c r="F1430" s="9"/>
      <c r="G1430" s="11">
        <f>IF(OR(A1430="",B1430=""),"",IF(COUNTIFS($A$6:$A$2005,A1430,$B$6:$B$2005,B1430)&gt;1,"DUPLICATE",""))</f>
        <v/>
      </c>
    </row>
    <row r="1431" spans="1:7">
      <c r="A1431" s="9"/>
      <c r="B1431" s="12"/>
      <c r="C1431" s="10"/>
      <c r="D1431" s="10"/>
      <c r="E1431" s="10"/>
      <c r="F1431" s="9"/>
      <c r="G1431" s="11">
        <f>IF(OR(A1431="",B1431=""),"",IF(COUNTIFS($A$6:$A$2005,A1431,$B$6:$B$2005,B1431)&gt;1,"DUPLICATE",""))</f>
        <v/>
      </c>
    </row>
    <row r="1432" spans="1:7">
      <c r="A1432" s="9"/>
      <c r="B1432" s="12"/>
      <c r="C1432" s="10"/>
      <c r="D1432" s="10"/>
      <c r="E1432" s="10"/>
      <c r="F1432" s="9"/>
      <c r="G1432" s="11">
        <f>IF(OR(A1432="",B1432=""),"",IF(COUNTIFS($A$6:$A$2005,A1432,$B$6:$B$2005,B1432)&gt;1,"DUPLICATE",""))</f>
        <v/>
      </c>
    </row>
    <row r="1433" spans="1:7">
      <c r="A1433" s="9"/>
      <c r="B1433" s="12"/>
      <c r="C1433" s="10"/>
      <c r="D1433" s="10"/>
      <c r="E1433" s="10"/>
      <c r="F1433" s="9"/>
      <c r="G1433" s="11">
        <f>IF(OR(A1433="",B1433=""),"",IF(COUNTIFS($A$6:$A$2005,A1433,$B$6:$B$2005,B1433)&gt;1,"DUPLICATE",""))</f>
        <v/>
      </c>
    </row>
    <row r="1434" spans="1:7">
      <c r="A1434" s="9"/>
      <c r="B1434" s="12"/>
      <c r="C1434" s="10"/>
      <c r="D1434" s="10"/>
      <c r="E1434" s="10"/>
      <c r="F1434" s="9"/>
      <c r="G1434" s="11">
        <f>IF(OR(A1434="",B1434=""),"",IF(COUNTIFS($A$6:$A$2005,A1434,$B$6:$B$2005,B1434)&gt;1,"DUPLICATE",""))</f>
        <v/>
      </c>
    </row>
    <row r="1435" spans="1:7">
      <c r="A1435" s="9"/>
      <c r="B1435" s="12"/>
      <c r="C1435" s="10"/>
      <c r="D1435" s="10"/>
      <c r="E1435" s="10"/>
      <c r="F1435" s="9"/>
      <c r="G1435" s="11">
        <f>IF(OR(A1435="",B1435=""),"",IF(COUNTIFS($A$6:$A$2005,A1435,$B$6:$B$2005,B1435)&gt;1,"DUPLICATE",""))</f>
        <v/>
      </c>
    </row>
    <row r="1436" spans="1:7">
      <c r="A1436" s="9"/>
      <c r="B1436" s="12"/>
      <c r="C1436" s="10"/>
      <c r="D1436" s="10"/>
      <c r="E1436" s="10"/>
      <c r="F1436" s="9"/>
      <c r="G1436" s="11">
        <f>IF(OR(A1436="",B1436=""),"",IF(COUNTIFS($A$6:$A$2005,A1436,$B$6:$B$2005,B1436)&gt;1,"DUPLICATE",""))</f>
        <v/>
      </c>
    </row>
    <row r="1437" spans="1:7">
      <c r="A1437" s="9"/>
      <c r="B1437" s="12"/>
      <c r="C1437" s="10"/>
      <c r="D1437" s="10"/>
      <c r="E1437" s="10"/>
      <c r="F1437" s="9"/>
      <c r="G1437" s="11">
        <f>IF(OR(A1437="",B1437=""),"",IF(COUNTIFS($A$6:$A$2005,A1437,$B$6:$B$2005,B1437)&gt;1,"DUPLICATE",""))</f>
        <v/>
      </c>
    </row>
    <row r="1438" spans="1:7">
      <c r="A1438" s="9"/>
      <c r="B1438" s="12"/>
      <c r="C1438" s="10"/>
      <c r="D1438" s="10"/>
      <c r="E1438" s="10"/>
      <c r="F1438" s="9"/>
      <c r="G1438" s="11">
        <f>IF(OR(A1438="",B1438=""),"",IF(COUNTIFS($A$6:$A$2005,A1438,$B$6:$B$2005,B1438)&gt;1,"DUPLICATE",""))</f>
        <v/>
      </c>
    </row>
    <row r="1439" spans="1:7">
      <c r="A1439" s="9"/>
      <c r="B1439" s="12"/>
      <c r="C1439" s="10"/>
      <c r="D1439" s="10"/>
      <c r="E1439" s="10"/>
      <c r="F1439" s="9"/>
      <c r="G1439" s="11">
        <f>IF(OR(A1439="",B1439=""),"",IF(COUNTIFS($A$6:$A$2005,A1439,$B$6:$B$2005,B1439)&gt;1,"DUPLICATE",""))</f>
        <v/>
      </c>
    </row>
    <row r="1440" spans="1:7">
      <c r="A1440" s="9"/>
      <c r="B1440" s="12"/>
      <c r="C1440" s="10"/>
      <c r="D1440" s="10"/>
      <c r="E1440" s="10"/>
      <c r="F1440" s="9"/>
      <c r="G1440" s="11">
        <f>IF(OR(A1440="",B1440=""),"",IF(COUNTIFS($A$6:$A$2005,A1440,$B$6:$B$2005,B1440)&gt;1,"DUPLICATE",""))</f>
        <v/>
      </c>
    </row>
    <row r="1441" spans="1:7">
      <c r="A1441" s="9"/>
      <c r="B1441" s="12"/>
      <c r="C1441" s="10"/>
      <c r="D1441" s="10"/>
      <c r="E1441" s="10"/>
      <c r="F1441" s="9"/>
      <c r="G1441" s="11">
        <f>IF(OR(A1441="",B1441=""),"",IF(COUNTIFS($A$6:$A$2005,A1441,$B$6:$B$2005,B1441)&gt;1,"DUPLICATE",""))</f>
        <v/>
      </c>
    </row>
    <row r="1442" spans="1:7">
      <c r="A1442" s="9"/>
      <c r="B1442" s="12"/>
      <c r="C1442" s="10"/>
      <c r="D1442" s="10"/>
      <c r="E1442" s="10"/>
      <c r="F1442" s="9"/>
      <c r="G1442" s="11">
        <f>IF(OR(A1442="",B1442=""),"",IF(COUNTIFS($A$6:$A$2005,A1442,$B$6:$B$2005,B1442)&gt;1,"DUPLICATE",""))</f>
        <v/>
      </c>
    </row>
    <row r="1443" spans="1:7">
      <c r="A1443" s="9"/>
      <c r="B1443" s="12"/>
      <c r="C1443" s="10"/>
      <c r="D1443" s="10"/>
      <c r="E1443" s="10"/>
      <c r="F1443" s="9"/>
      <c r="G1443" s="11">
        <f>IF(OR(A1443="",B1443=""),"",IF(COUNTIFS($A$6:$A$2005,A1443,$B$6:$B$2005,B1443)&gt;1,"DUPLICATE",""))</f>
        <v/>
      </c>
    </row>
    <row r="1444" spans="1:7">
      <c r="A1444" s="9"/>
      <c r="B1444" s="12"/>
      <c r="C1444" s="10"/>
      <c r="D1444" s="10"/>
      <c r="E1444" s="10"/>
      <c r="F1444" s="9"/>
      <c r="G1444" s="11">
        <f>IF(OR(A1444="",B1444=""),"",IF(COUNTIFS($A$6:$A$2005,A1444,$B$6:$B$2005,B1444)&gt;1,"DUPLICATE",""))</f>
        <v/>
      </c>
    </row>
    <row r="1445" spans="1:7">
      <c r="A1445" s="9"/>
      <c r="B1445" s="12"/>
      <c r="C1445" s="10"/>
      <c r="D1445" s="10"/>
      <c r="E1445" s="10"/>
      <c r="F1445" s="9"/>
      <c r="G1445" s="11">
        <f>IF(OR(A1445="",B1445=""),"",IF(COUNTIFS($A$6:$A$2005,A1445,$B$6:$B$2005,B1445)&gt;1,"DUPLICATE",""))</f>
        <v/>
      </c>
    </row>
    <row r="1446" spans="1:7">
      <c r="A1446" s="9"/>
      <c r="B1446" s="12"/>
      <c r="C1446" s="10"/>
      <c r="D1446" s="10"/>
      <c r="E1446" s="10"/>
      <c r="F1446" s="9"/>
      <c r="G1446" s="11">
        <f>IF(OR(A1446="",B1446=""),"",IF(COUNTIFS($A$6:$A$2005,A1446,$B$6:$B$2005,B1446)&gt;1,"DUPLICATE",""))</f>
        <v/>
      </c>
    </row>
    <row r="1447" spans="1:7">
      <c r="A1447" s="9"/>
      <c r="B1447" s="12"/>
      <c r="C1447" s="10"/>
      <c r="D1447" s="10"/>
      <c r="E1447" s="10"/>
      <c r="F1447" s="9"/>
      <c r="G1447" s="11">
        <f>IF(OR(A1447="",B1447=""),"",IF(COUNTIFS($A$6:$A$2005,A1447,$B$6:$B$2005,B1447)&gt;1,"DUPLICATE",""))</f>
        <v/>
      </c>
    </row>
    <row r="1448" spans="1:7">
      <c r="A1448" s="9"/>
      <c r="B1448" s="12"/>
      <c r="C1448" s="10"/>
      <c r="D1448" s="10"/>
      <c r="E1448" s="10"/>
      <c r="F1448" s="9"/>
      <c r="G1448" s="11">
        <f>IF(OR(A1448="",B1448=""),"",IF(COUNTIFS($A$6:$A$2005,A1448,$B$6:$B$2005,B1448)&gt;1,"DUPLICATE",""))</f>
        <v/>
      </c>
    </row>
    <row r="1449" spans="1:7">
      <c r="A1449" s="9"/>
      <c r="B1449" s="12"/>
      <c r="C1449" s="10"/>
      <c r="D1449" s="10"/>
      <c r="E1449" s="10"/>
      <c r="F1449" s="9"/>
      <c r="G1449" s="11">
        <f>IF(OR(A1449="",B1449=""),"",IF(COUNTIFS($A$6:$A$2005,A1449,$B$6:$B$2005,B1449)&gt;1,"DUPLICATE",""))</f>
        <v/>
      </c>
    </row>
    <row r="1450" spans="1:7">
      <c r="A1450" s="9"/>
      <c r="B1450" s="12"/>
      <c r="C1450" s="10"/>
      <c r="D1450" s="10"/>
      <c r="E1450" s="10"/>
      <c r="F1450" s="9"/>
      <c r="G1450" s="11">
        <f>IF(OR(A1450="",B1450=""),"",IF(COUNTIFS($A$6:$A$2005,A1450,$B$6:$B$2005,B1450)&gt;1,"DUPLICATE",""))</f>
        <v/>
      </c>
    </row>
    <row r="1451" spans="1:7">
      <c r="A1451" s="9"/>
      <c r="B1451" s="12"/>
      <c r="C1451" s="10"/>
      <c r="D1451" s="10"/>
      <c r="E1451" s="10"/>
      <c r="F1451" s="9"/>
      <c r="G1451" s="11">
        <f>IF(OR(A1451="",B1451=""),"",IF(COUNTIFS($A$6:$A$2005,A1451,$B$6:$B$2005,B1451)&gt;1,"DUPLICATE",""))</f>
        <v/>
      </c>
    </row>
    <row r="1452" spans="1:7">
      <c r="A1452" s="9"/>
      <c r="B1452" s="12"/>
      <c r="C1452" s="10"/>
      <c r="D1452" s="10"/>
      <c r="E1452" s="10"/>
      <c r="F1452" s="9"/>
      <c r="G1452" s="11">
        <f>IF(OR(A1452="",B1452=""),"",IF(COUNTIFS($A$6:$A$2005,A1452,$B$6:$B$2005,B1452)&gt;1,"DUPLICATE",""))</f>
        <v/>
      </c>
    </row>
    <row r="1453" spans="1:7">
      <c r="A1453" s="9"/>
      <c r="B1453" s="12"/>
      <c r="C1453" s="10"/>
      <c r="D1453" s="10"/>
      <c r="E1453" s="10"/>
      <c r="F1453" s="9"/>
      <c r="G1453" s="11">
        <f>IF(OR(A1453="",B1453=""),"",IF(COUNTIFS($A$6:$A$2005,A1453,$B$6:$B$2005,B1453)&gt;1,"DUPLICATE",""))</f>
        <v/>
      </c>
    </row>
    <row r="1454" spans="1:7">
      <c r="A1454" s="9"/>
      <c r="B1454" s="12"/>
      <c r="C1454" s="10"/>
      <c r="D1454" s="10"/>
      <c r="E1454" s="10"/>
      <c r="F1454" s="9"/>
      <c r="G1454" s="11">
        <f>IF(OR(A1454="",B1454=""),"",IF(COUNTIFS($A$6:$A$2005,A1454,$B$6:$B$2005,B1454)&gt;1,"DUPLICATE",""))</f>
        <v/>
      </c>
    </row>
    <row r="1455" spans="1:7">
      <c r="A1455" s="9"/>
      <c r="B1455" s="12"/>
      <c r="C1455" s="10"/>
      <c r="D1455" s="10"/>
      <c r="E1455" s="10"/>
      <c r="F1455" s="9"/>
      <c r="G1455" s="11">
        <f>IF(OR(A1455="",B1455=""),"",IF(COUNTIFS($A$6:$A$2005,A1455,$B$6:$B$2005,B1455)&gt;1,"DUPLICATE",""))</f>
        <v/>
      </c>
    </row>
    <row r="1456" spans="1:7">
      <c r="A1456" s="9"/>
      <c r="B1456" s="12"/>
      <c r="C1456" s="10"/>
      <c r="D1456" s="10"/>
      <c r="E1456" s="10"/>
      <c r="F1456" s="9"/>
      <c r="G1456" s="11">
        <f>IF(OR(A1456="",B1456=""),"",IF(COUNTIFS($A$6:$A$2005,A1456,$B$6:$B$2005,B1456)&gt;1,"DUPLICATE",""))</f>
        <v/>
      </c>
    </row>
    <row r="1457" spans="1:7">
      <c r="A1457" s="9"/>
      <c r="B1457" s="12"/>
      <c r="C1457" s="10"/>
      <c r="D1457" s="10"/>
      <c r="E1457" s="10"/>
      <c r="F1457" s="9"/>
      <c r="G1457" s="11">
        <f>IF(OR(A1457="",B1457=""),"",IF(COUNTIFS($A$6:$A$2005,A1457,$B$6:$B$2005,B1457)&gt;1,"DUPLICATE",""))</f>
        <v/>
      </c>
    </row>
    <row r="1458" spans="1:7">
      <c r="A1458" s="9"/>
      <c r="B1458" s="12"/>
      <c r="C1458" s="10"/>
      <c r="D1458" s="10"/>
      <c r="E1458" s="10"/>
      <c r="F1458" s="9"/>
      <c r="G1458" s="11">
        <f>IF(OR(A1458="",B1458=""),"",IF(COUNTIFS($A$6:$A$2005,A1458,$B$6:$B$2005,B1458)&gt;1,"DUPLICATE",""))</f>
        <v/>
      </c>
    </row>
    <row r="1459" spans="1:7">
      <c r="A1459" s="9"/>
      <c r="B1459" s="12"/>
      <c r="C1459" s="10"/>
      <c r="D1459" s="10"/>
      <c r="E1459" s="10"/>
      <c r="F1459" s="9"/>
      <c r="G1459" s="11">
        <f>IF(OR(A1459="",B1459=""),"",IF(COUNTIFS($A$6:$A$2005,A1459,$B$6:$B$2005,B1459)&gt;1,"DUPLICATE",""))</f>
        <v/>
      </c>
    </row>
    <row r="1460" spans="1:7">
      <c r="A1460" s="9"/>
      <c r="B1460" s="12"/>
      <c r="C1460" s="10"/>
      <c r="D1460" s="10"/>
      <c r="E1460" s="10"/>
      <c r="F1460" s="9"/>
      <c r="G1460" s="11">
        <f>IF(OR(A1460="",B1460=""),"",IF(COUNTIFS($A$6:$A$2005,A1460,$B$6:$B$2005,B1460)&gt;1,"DUPLICATE",""))</f>
        <v/>
      </c>
    </row>
    <row r="1461" spans="1:7">
      <c r="A1461" s="9"/>
      <c r="B1461" s="12"/>
      <c r="C1461" s="10"/>
      <c r="D1461" s="10"/>
      <c r="E1461" s="10"/>
      <c r="F1461" s="9"/>
      <c r="G1461" s="11">
        <f>IF(OR(A1461="",B1461=""),"",IF(COUNTIFS($A$6:$A$2005,A1461,$B$6:$B$2005,B1461)&gt;1,"DUPLICATE",""))</f>
        <v/>
      </c>
    </row>
    <row r="1462" spans="1:7">
      <c r="A1462" s="9"/>
      <c r="B1462" s="12"/>
      <c r="C1462" s="10"/>
      <c r="D1462" s="10"/>
      <c r="E1462" s="10"/>
      <c r="F1462" s="9"/>
      <c r="G1462" s="11">
        <f>IF(OR(A1462="",B1462=""),"",IF(COUNTIFS($A$6:$A$2005,A1462,$B$6:$B$2005,B1462)&gt;1,"DUPLICATE",""))</f>
        <v/>
      </c>
    </row>
    <row r="1463" spans="1:7">
      <c r="A1463" s="9"/>
      <c r="B1463" s="12"/>
      <c r="C1463" s="10"/>
      <c r="D1463" s="10"/>
      <c r="E1463" s="10"/>
      <c r="F1463" s="9"/>
      <c r="G1463" s="11">
        <f>IF(OR(A1463="",B1463=""),"",IF(COUNTIFS($A$6:$A$2005,A1463,$B$6:$B$2005,B1463)&gt;1,"DUPLICATE",""))</f>
        <v/>
      </c>
    </row>
    <row r="1464" spans="1:7">
      <c r="A1464" s="9"/>
      <c r="B1464" s="12"/>
      <c r="C1464" s="10"/>
      <c r="D1464" s="10"/>
      <c r="E1464" s="10"/>
      <c r="F1464" s="9"/>
      <c r="G1464" s="11">
        <f>IF(OR(A1464="",B1464=""),"",IF(COUNTIFS($A$6:$A$2005,A1464,$B$6:$B$2005,B1464)&gt;1,"DUPLICATE",""))</f>
        <v/>
      </c>
    </row>
    <row r="1465" spans="1:7">
      <c r="A1465" s="9"/>
      <c r="B1465" s="12"/>
      <c r="C1465" s="10"/>
      <c r="D1465" s="10"/>
      <c r="E1465" s="10"/>
      <c r="F1465" s="9"/>
      <c r="G1465" s="11">
        <f>IF(OR(A1465="",B1465=""),"",IF(COUNTIFS($A$6:$A$2005,A1465,$B$6:$B$2005,B1465)&gt;1,"DUPLICATE",""))</f>
        <v/>
      </c>
    </row>
    <row r="1466" spans="1:7">
      <c r="A1466" s="9"/>
      <c r="B1466" s="12"/>
      <c r="C1466" s="10"/>
      <c r="D1466" s="10"/>
      <c r="E1466" s="10"/>
      <c r="F1466" s="9"/>
      <c r="G1466" s="11">
        <f>IF(OR(A1466="",B1466=""),"",IF(COUNTIFS($A$6:$A$2005,A1466,$B$6:$B$2005,B1466)&gt;1,"DUPLICATE",""))</f>
        <v/>
      </c>
    </row>
    <row r="1467" spans="1:7">
      <c r="A1467" s="9"/>
      <c r="B1467" s="12"/>
      <c r="C1467" s="10"/>
      <c r="D1467" s="10"/>
      <c r="E1467" s="10"/>
      <c r="F1467" s="9"/>
      <c r="G1467" s="11">
        <f>IF(OR(A1467="",B1467=""),"",IF(COUNTIFS($A$6:$A$2005,A1467,$B$6:$B$2005,B1467)&gt;1,"DUPLICATE",""))</f>
        <v/>
      </c>
    </row>
    <row r="1468" spans="1:7">
      <c r="A1468" s="9"/>
      <c r="B1468" s="12"/>
      <c r="C1468" s="10"/>
      <c r="D1468" s="10"/>
      <c r="E1468" s="10"/>
      <c r="F1468" s="9"/>
      <c r="G1468" s="11">
        <f>IF(OR(A1468="",B1468=""),"",IF(COUNTIFS($A$6:$A$2005,A1468,$B$6:$B$2005,B1468)&gt;1,"DUPLICATE",""))</f>
        <v/>
      </c>
    </row>
    <row r="1469" spans="1:7">
      <c r="A1469" s="9"/>
      <c r="B1469" s="12"/>
      <c r="C1469" s="10"/>
      <c r="D1469" s="10"/>
      <c r="E1469" s="10"/>
      <c r="F1469" s="9"/>
      <c r="G1469" s="11">
        <f>IF(OR(A1469="",B1469=""),"",IF(COUNTIFS($A$6:$A$2005,A1469,$B$6:$B$2005,B1469)&gt;1,"DUPLICATE",""))</f>
        <v/>
      </c>
    </row>
    <row r="1470" spans="1:7">
      <c r="A1470" s="9"/>
      <c r="B1470" s="12"/>
      <c r="C1470" s="10"/>
      <c r="D1470" s="10"/>
      <c r="E1470" s="10"/>
      <c r="F1470" s="9"/>
      <c r="G1470" s="11">
        <f>IF(OR(A1470="",B1470=""),"",IF(COUNTIFS($A$6:$A$2005,A1470,$B$6:$B$2005,B1470)&gt;1,"DUPLICATE",""))</f>
        <v/>
      </c>
    </row>
    <row r="1471" spans="1:7">
      <c r="A1471" s="9"/>
      <c r="B1471" s="12"/>
      <c r="C1471" s="10"/>
      <c r="D1471" s="10"/>
      <c r="E1471" s="10"/>
      <c r="F1471" s="9"/>
      <c r="G1471" s="11">
        <f>IF(OR(A1471="",B1471=""),"",IF(COUNTIFS($A$6:$A$2005,A1471,$B$6:$B$2005,B1471)&gt;1,"DUPLICATE",""))</f>
        <v/>
      </c>
    </row>
    <row r="1472" spans="1:7">
      <c r="A1472" s="9"/>
      <c r="B1472" s="12"/>
      <c r="C1472" s="10"/>
      <c r="D1472" s="10"/>
      <c r="E1472" s="10"/>
      <c r="F1472" s="9"/>
      <c r="G1472" s="11">
        <f>IF(OR(A1472="",B1472=""),"",IF(COUNTIFS($A$6:$A$2005,A1472,$B$6:$B$2005,B1472)&gt;1,"DUPLICATE",""))</f>
        <v/>
      </c>
    </row>
    <row r="1473" spans="1:7">
      <c r="A1473" s="9"/>
      <c r="B1473" s="12"/>
      <c r="C1473" s="10"/>
      <c r="D1473" s="10"/>
      <c r="E1473" s="10"/>
      <c r="F1473" s="9"/>
      <c r="G1473" s="11">
        <f>IF(OR(A1473="",B1473=""),"",IF(COUNTIFS($A$6:$A$2005,A1473,$B$6:$B$2005,B1473)&gt;1,"DUPLICATE",""))</f>
        <v/>
      </c>
    </row>
    <row r="1474" spans="1:7">
      <c r="A1474" s="9"/>
      <c r="B1474" s="12"/>
      <c r="C1474" s="10"/>
      <c r="D1474" s="10"/>
      <c r="E1474" s="10"/>
      <c r="F1474" s="9"/>
      <c r="G1474" s="11">
        <f>IF(OR(A1474="",B1474=""),"",IF(COUNTIFS($A$6:$A$2005,A1474,$B$6:$B$2005,B1474)&gt;1,"DUPLICATE",""))</f>
        <v/>
      </c>
    </row>
    <row r="1475" spans="1:7">
      <c r="A1475" s="9"/>
      <c r="B1475" s="12"/>
      <c r="C1475" s="10"/>
      <c r="D1475" s="10"/>
      <c r="E1475" s="10"/>
      <c r="F1475" s="9"/>
      <c r="G1475" s="11">
        <f>IF(OR(A1475="",B1475=""),"",IF(COUNTIFS($A$6:$A$2005,A1475,$B$6:$B$2005,B1475)&gt;1,"DUPLICATE",""))</f>
        <v/>
      </c>
    </row>
    <row r="1476" spans="1:7">
      <c r="A1476" s="9"/>
      <c r="B1476" s="12"/>
      <c r="C1476" s="10"/>
      <c r="D1476" s="10"/>
      <c r="E1476" s="10"/>
      <c r="F1476" s="9"/>
      <c r="G1476" s="11">
        <f>IF(OR(A1476="",B1476=""),"",IF(COUNTIFS($A$6:$A$2005,A1476,$B$6:$B$2005,B1476)&gt;1,"DUPLICATE",""))</f>
        <v/>
      </c>
    </row>
    <row r="1477" spans="1:7">
      <c r="A1477" s="9"/>
      <c r="B1477" s="12"/>
      <c r="C1477" s="10"/>
      <c r="D1477" s="10"/>
      <c r="E1477" s="10"/>
      <c r="F1477" s="9"/>
      <c r="G1477" s="11">
        <f>IF(OR(A1477="",B1477=""),"",IF(COUNTIFS($A$6:$A$2005,A1477,$B$6:$B$2005,B1477)&gt;1,"DUPLICATE",""))</f>
        <v/>
      </c>
    </row>
    <row r="1478" spans="1:7">
      <c r="A1478" s="9"/>
      <c r="B1478" s="12"/>
      <c r="C1478" s="10"/>
      <c r="D1478" s="10"/>
      <c r="E1478" s="10"/>
      <c r="F1478" s="9"/>
      <c r="G1478" s="11">
        <f>IF(OR(A1478="",B1478=""),"",IF(COUNTIFS($A$6:$A$2005,A1478,$B$6:$B$2005,B1478)&gt;1,"DUPLICATE",""))</f>
        <v/>
      </c>
    </row>
    <row r="1479" spans="1:7">
      <c r="A1479" s="9"/>
      <c r="B1479" s="12"/>
      <c r="C1479" s="10"/>
      <c r="D1479" s="10"/>
      <c r="E1479" s="10"/>
      <c r="F1479" s="9"/>
      <c r="G1479" s="11">
        <f>IF(OR(A1479="",B1479=""),"",IF(COUNTIFS($A$6:$A$2005,A1479,$B$6:$B$2005,B1479)&gt;1,"DUPLICATE",""))</f>
        <v/>
      </c>
    </row>
    <row r="1480" spans="1:7">
      <c r="A1480" s="9"/>
      <c r="B1480" s="12"/>
      <c r="C1480" s="10"/>
      <c r="D1480" s="10"/>
      <c r="E1480" s="10"/>
      <c r="F1480" s="9"/>
      <c r="G1480" s="11">
        <f>IF(OR(A1480="",B1480=""),"",IF(COUNTIFS($A$6:$A$2005,A1480,$B$6:$B$2005,B1480)&gt;1,"DUPLICATE",""))</f>
        <v/>
      </c>
    </row>
    <row r="1481" spans="1:7">
      <c r="A1481" s="9"/>
      <c r="B1481" s="12"/>
      <c r="C1481" s="10"/>
      <c r="D1481" s="10"/>
      <c r="E1481" s="10"/>
      <c r="F1481" s="9"/>
      <c r="G1481" s="11">
        <f>IF(OR(A1481="",B1481=""),"",IF(COUNTIFS($A$6:$A$2005,A1481,$B$6:$B$2005,B1481)&gt;1,"DUPLICATE",""))</f>
        <v/>
      </c>
    </row>
    <row r="1482" spans="1:7">
      <c r="A1482" s="9"/>
      <c r="B1482" s="12"/>
      <c r="C1482" s="10"/>
      <c r="D1482" s="10"/>
      <c r="E1482" s="10"/>
      <c r="F1482" s="9"/>
      <c r="G1482" s="11">
        <f>IF(OR(A1482="",B1482=""),"",IF(COUNTIFS($A$6:$A$2005,A1482,$B$6:$B$2005,B1482)&gt;1,"DUPLICATE",""))</f>
        <v/>
      </c>
    </row>
    <row r="1483" spans="1:7">
      <c r="A1483" s="9"/>
      <c r="B1483" s="12"/>
      <c r="C1483" s="10"/>
      <c r="D1483" s="10"/>
      <c r="E1483" s="10"/>
      <c r="F1483" s="9"/>
      <c r="G1483" s="11">
        <f>IF(OR(A1483="",B1483=""),"",IF(COUNTIFS($A$6:$A$2005,A1483,$B$6:$B$2005,B1483)&gt;1,"DUPLICATE",""))</f>
        <v/>
      </c>
    </row>
    <row r="1484" spans="1:7">
      <c r="A1484" s="9"/>
      <c r="B1484" s="12"/>
      <c r="C1484" s="10"/>
      <c r="D1484" s="10"/>
      <c r="E1484" s="10"/>
      <c r="F1484" s="9"/>
      <c r="G1484" s="11">
        <f>IF(OR(A1484="",B1484=""),"",IF(COUNTIFS($A$6:$A$2005,A1484,$B$6:$B$2005,B1484)&gt;1,"DUPLICATE",""))</f>
        <v/>
      </c>
    </row>
    <row r="1485" spans="1:7">
      <c r="A1485" s="9"/>
      <c r="B1485" s="12"/>
      <c r="C1485" s="10"/>
      <c r="D1485" s="10"/>
      <c r="E1485" s="10"/>
      <c r="F1485" s="9"/>
      <c r="G1485" s="11">
        <f>IF(OR(A1485="",B1485=""),"",IF(COUNTIFS($A$6:$A$2005,A1485,$B$6:$B$2005,B1485)&gt;1,"DUPLICATE",""))</f>
        <v/>
      </c>
    </row>
    <row r="1486" spans="1:7">
      <c r="A1486" s="9"/>
      <c r="B1486" s="12"/>
      <c r="C1486" s="10"/>
      <c r="D1486" s="10"/>
      <c r="E1486" s="10"/>
      <c r="F1486" s="9"/>
      <c r="G1486" s="11">
        <f>IF(OR(A1486="",B1486=""),"",IF(COUNTIFS($A$6:$A$2005,A1486,$B$6:$B$2005,B1486)&gt;1,"DUPLICATE",""))</f>
        <v/>
      </c>
    </row>
    <row r="1487" spans="1:7">
      <c r="A1487" s="9"/>
      <c r="B1487" s="12"/>
      <c r="C1487" s="10"/>
      <c r="D1487" s="10"/>
      <c r="E1487" s="10"/>
      <c r="F1487" s="9"/>
      <c r="G1487" s="11">
        <f>IF(OR(A1487="",B1487=""),"",IF(COUNTIFS($A$6:$A$2005,A1487,$B$6:$B$2005,B1487)&gt;1,"DUPLICATE",""))</f>
        <v/>
      </c>
    </row>
    <row r="1488" spans="1:7">
      <c r="A1488" s="9"/>
      <c r="B1488" s="12"/>
      <c r="C1488" s="10"/>
      <c r="D1488" s="10"/>
      <c r="E1488" s="10"/>
      <c r="F1488" s="9"/>
      <c r="G1488" s="11">
        <f>IF(OR(A1488="",B1488=""),"",IF(COUNTIFS($A$6:$A$2005,A1488,$B$6:$B$2005,B1488)&gt;1,"DUPLICATE",""))</f>
        <v/>
      </c>
    </row>
    <row r="1489" spans="1:7">
      <c r="A1489" s="9"/>
      <c r="B1489" s="12"/>
      <c r="C1489" s="10"/>
      <c r="D1489" s="10"/>
      <c r="E1489" s="10"/>
      <c r="F1489" s="9"/>
      <c r="G1489" s="11">
        <f>IF(OR(A1489="",B1489=""),"",IF(COUNTIFS($A$6:$A$2005,A1489,$B$6:$B$2005,B1489)&gt;1,"DUPLICATE",""))</f>
        <v/>
      </c>
    </row>
    <row r="1490" spans="1:7">
      <c r="A1490" s="9"/>
      <c r="B1490" s="12"/>
      <c r="C1490" s="10"/>
      <c r="D1490" s="10"/>
      <c r="E1490" s="10"/>
      <c r="F1490" s="9"/>
      <c r="G1490" s="11">
        <f>IF(OR(A1490="",B1490=""),"",IF(COUNTIFS($A$6:$A$2005,A1490,$B$6:$B$2005,B1490)&gt;1,"DUPLICATE",""))</f>
        <v/>
      </c>
    </row>
    <row r="1491" spans="1:7">
      <c r="A1491" s="9"/>
      <c r="B1491" s="12"/>
      <c r="C1491" s="10"/>
      <c r="D1491" s="10"/>
      <c r="E1491" s="10"/>
      <c r="F1491" s="9"/>
      <c r="G1491" s="11">
        <f>IF(OR(A1491="",B1491=""),"",IF(COUNTIFS($A$6:$A$2005,A1491,$B$6:$B$2005,B1491)&gt;1,"DUPLICATE",""))</f>
        <v/>
      </c>
    </row>
    <row r="1492" spans="1:7">
      <c r="A1492" s="9"/>
      <c r="B1492" s="12"/>
      <c r="C1492" s="10"/>
      <c r="D1492" s="10"/>
      <c r="E1492" s="10"/>
      <c r="F1492" s="9"/>
      <c r="G1492" s="11">
        <f>IF(OR(A1492="",B1492=""),"",IF(COUNTIFS($A$6:$A$2005,A1492,$B$6:$B$2005,B1492)&gt;1,"DUPLICATE",""))</f>
        <v/>
      </c>
    </row>
    <row r="1493" spans="1:7">
      <c r="A1493" s="9"/>
      <c r="B1493" s="12"/>
      <c r="C1493" s="10"/>
      <c r="D1493" s="10"/>
      <c r="E1493" s="10"/>
      <c r="F1493" s="9"/>
      <c r="G1493" s="11">
        <f>IF(OR(A1493="",B1493=""),"",IF(COUNTIFS($A$6:$A$2005,A1493,$B$6:$B$2005,B1493)&gt;1,"DUPLICATE",""))</f>
        <v/>
      </c>
    </row>
    <row r="1494" spans="1:7">
      <c r="A1494" s="9"/>
      <c r="B1494" s="12"/>
      <c r="C1494" s="10"/>
      <c r="D1494" s="10"/>
      <c r="E1494" s="10"/>
      <c r="F1494" s="9"/>
      <c r="G1494" s="11">
        <f>IF(OR(A1494="",B1494=""),"",IF(COUNTIFS($A$6:$A$2005,A1494,$B$6:$B$2005,B1494)&gt;1,"DUPLICATE",""))</f>
        <v/>
      </c>
    </row>
    <row r="1495" spans="1:7">
      <c r="A1495" s="9"/>
      <c r="B1495" s="12"/>
      <c r="C1495" s="10"/>
      <c r="D1495" s="10"/>
      <c r="E1495" s="10"/>
      <c r="F1495" s="9"/>
      <c r="G1495" s="11">
        <f>IF(OR(A1495="",B1495=""),"",IF(COUNTIFS($A$6:$A$2005,A1495,$B$6:$B$2005,B1495)&gt;1,"DUPLICATE",""))</f>
        <v/>
      </c>
    </row>
    <row r="1496" spans="1:7">
      <c r="A1496" s="9"/>
      <c r="B1496" s="12"/>
      <c r="C1496" s="10"/>
      <c r="D1496" s="10"/>
      <c r="E1496" s="10"/>
      <c r="F1496" s="9"/>
      <c r="G1496" s="11">
        <f>IF(OR(A1496="",B1496=""),"",IF(COUNTIFS($A$6:$A$2005,A1496,$B$6:$B$2005,B1496)&gt;1,"DUPLICATE",""))</f>
        <v/>
      </c>
    </row>
    <row r="1497" spans="1:7">
      <c r="A1497" s="9"/>
      <c r="B1497" s="12"/>
      <c r="C1497" s="10"/>
      <c r="D1497" s="10"/>
      <c r="E1497" s="10"/>
      <c r="F1497" s="9"/>
      <c r="G1497" s="11">
        <f>IF(OR(A1497="",B1497=""),"",IF(COUNTIFS($A$6:$A$2005,A1497,$B$6:$B$2005,B1497)&gt;1,"DUPLICATE",""))</f>
        <v/>
      </c>
    </row>
    <row r="1498" spans="1:7">
      <c r="A1498" s="9"/>
      <c r="B1498" s="12"/>
      <c r="C1498" s="10"/>
      <c r="D1498" s="10"/>
      <c r="E1498" s="10"/>
      <c r="F1498" s="9"/>
      <c r="G1498" s="11">
        <f>IF(OR(A1498="",B1498=""),"",IF(COUNTIFS($A$6:$A$2005,A1498,$B$6:$B$2005,B1498)&gt;1,"DUPLICATE",""))</f>
        <v/>
      </c>
    </row>
    <row r="1499" spans="1:7">
      <c r="A1499" s="9"/>
      <c r="B1499" s="12"/>
      <c r="C1499" s="10"/>
      <c r="D1499" s="10"/>
      <c r="E1499" s="10"/>
      <c r="F1499" s="9"/>
      <c r="G1499" s="11">
        <f>IF(OR(A1499="",B1499=""),"",IF(COUNTIFS($A$6:$A$2005,A1499,$B$6:$B$2005,B1499)&gt;1,"DUPLICATE",""))</f>
        <v/>
      </c>
    </row>
    <row r="1500" spans="1:7">
      <c r="A1500" s="9"/>
      <c r="B1500" s="12"/>
      <c r="C1500" s="10"/>
      <c r="D1500" s="10"/>
      <c r="E1500" s="10"/>
      <c r="F1500" s="9"/>
      <c r="G1500" s="11">
        <f>IF(OR(A1500="",B1500=""),"",IF(COUNTIFS($A$6:$A$2005,A1500,$B$6:$B$2005,B1500)&gt;1,"DUPLICATE",""))</f>
        <v/>
      </c>
    </row>
    <row r="1501" spans="1:7">
      <c r="A1501" s="9"/>
      <c r="B1501" s="12"/>
      <c r="C1501" s="10"/>
      <c r="D1501" s="10"/>
      <c r="E1501" s="10"/>
      <c r="F1501" s="9"/>
      <c r="G1501" s="11">
        <f>IF(OR(A1501="",B1501=""),"",IF(COUNTIFS($A$6:$A$2005,A1501,$B$6:$B$2005,B1501)&gt;1,"DUPLICATE",""))</f>
        <v/>
      </c>
    </row>
    <row r="1502" spans="1:7">
      <c r="A1502" s="9"/>
      <c r="B1502" s="12"/>
      <c r="C1502" s="10"/>
      <c r="D1502" s="10"/>
      <c r="E1502" s="10"/>
      <c r="F1502" s="9"/>
      <c r="G1502" s="11">
        <f>IF(OR(A1502="",B1502=""),"",IF(COUNTIFS($A$6:$A$2005,A1502,$B$6:$B$2005,B1502)&gt;1,"DUPLICATE",""))</f>
        <v/>
      </c>
    </row>
    <row r="1503" spans="1:7">
      <c r="A1503" s="9"/>
      <c r="B1503" s="12"/>
      <c r="C1503" s="10"/>
      <c r="D1503" s="10"/>
      <c r="E1503" s="10"/>
      <c r="F1503" s="9"/>
      <c r="G1503" s="11">
        <f>IF(OR(A1503="",B1503=""),"",IF(COUNTIFS($A$6:$A$2005,A1503,$B$6:$B$2005,B1503)&gt;1,"DUPLICATE",""))</f>
        <v/>
      </c>
    </row>
    <row r="1504" spans="1:7">
      <c r="A1504" s="9"/>
      <c r="B1504" s="12"/>
      <c r="C1504" s="10"/>
      <c r="D1504" s="10"/>
      <c r="E1504" s="10"/>
      <c r="F1504" s="9"/>
      <c r="G1504" s="11">
        <f>IF(OR(A1504="",B1504=""),"",IF(COUNTIFS($A$6:$A$2005,A1504,$B$6:$B$2005,B1504)&gt;1,"DUPLICATE",""))</f>
        <v/>
      </c>
    </row>
    <row r="1505" spans="1:7">
      <c r="A1505" s="9"/>
      <c r="B1505" s="12"/>
      <c r="C1505" s="10"/>
      <c r="D1505" s="10"/>
      <c r="E1505" s="10"/>
      <c r="F1505" s="9"/>
      <c r="G1505" s="11">
        <f>IF(OR(A1505="",B1505=""),"",IF(COUNTIFS($A$6:$A$2005,A1505,$B$6:$B$2005,B1505)&gt;1,"DUPLICATE",""))</f>
        <v/>
      </c>
    </row>
    <row r="1506" spans="1:7">
      <c r="A1506" s="9"/>
      <c r="B1506" s="12"/>
      <c r="C1506" s="10"/>
      <c r="D1506" s="10"/>
      <c r="E1506" s="10"/>
      <c r="F1506" s="9"/>
      <c r="G1506" s="11">
        <f>IF(OR(A1506="",B1506=""),"",IF(COUNTIFS($A$6:$A$2005,A1506,$B$6:$B$2005,B1506)&gt;1,"DUPLICATE",""))</f>
        <v/>
      </c>
    </row>
    <row r="1507" spans="1:7">
      <c r="A1507" s="9"/>
      <c r="B1507" s="12"/>
      <c r="C1507" s="10"/>
      <c r="D1507" s="10"/>
      <c r="E1507" s="10"/>
      <c r="F1507" s="9"/>
      <c r="G1507" s="11">
        <f>IF(OR(A1507="",B1507=""),"",IF(COUNTIFS($A$6:$A$2005,A1507,$B$6:$B$2005,B1507)&gt;1,"DUPLICATE",""))</f>
        <v/>
      </c>
    </row>
    <row r="1508" spans="1:7">
      <c r="A1508" s="9"/>
      <c r="B1508" s="12"/>
      <c r="C1508" s="10"/>
      <c r="D1508" s="10"/>
      <c r="E1508" s="10"/>
      <c r="F1508" s="9"/>
      <c r="G1508" s="11">
        <f>IF(OR(A1508="",B1508=""),"",IF(COUNTIFS($A$6:$A$2005,A1508,$B$6:$B$2005,B1508)&gt;1,"DUPLICATE",""))</f>
        <v/>
      </c>
    </row>
    <row r="1509" spans="1:7">
      <c r="A1509" s="9"/>
      <c r="B1509" s="12"/>
      <c r="C1509" s="10"/>
      <c r="D1509" s="10"/>
      <c r="E1509" s="10"/>
      <c r="F1509" s="9"/>
      <c r="G1509" s="11">
        <f>IF(OR(A1509="",B1509=""),"",IF(COUNTIFS($A$6:$A$2005,A1509,$B$6:$B$2005,B1509)&gt;1,"DUPLICATE",""))</f>
        <v/>
      </c>
    </row>
    <row r="1510" spans="1:7">
      <c r="A1510" s="9"/>
      <c r="B1510" s="12"/>
      <c r="C1510" s="10"/>
      <c r="D1510" s="10"/>
      <c r="E1510" s="10"/>
      <c r="F1510" s="9"/>
      <c r="G1510" s="11">
        <f>IF(OR(A1510="",B1510=""),"",IF(COUNTIFS($A$6:$A$2005,A1510,$B$6:$B$2005,B1510)&gt;1,"DUPLICATE",""))</f>
        <v/>
      </c>
    </row>
    <row r="1511" spans="1:7">
      <c r="A1511" s="9"/>
      <c r="B1511" s="12"/>
      <c r="C1511" s="10"/>
      <c r="D1511" s="10"/>
      <c r="E1511" s="10"/>
      <c r="F1511" s="9"/>
      <c r="G1511" s="11">
        <f>IF(OR(A1511="",B1511=""),"",IF(COUNTIFS($A$6:$A$2005,A1511,$B$6:$B$2005,B1511)&gt;1,"DUPLICATE",""))</f>
        <v/>
      </c>
    </row>
    <row r="1512" spans="1:7">
      <c r="A1512" s="9"/>
      <c r="B1512" s="12"/>
      <c r="C1512" s="10"/>
      <c r="D1512" s="10"/>
      <c r="E1512" s="10"/>
      <c r="F1512" s="9"/>
      <c r="G1512" s="11">
        <f>IF(OR(A1512="",B1512=""),"",IF(COUNTIFS($A$6:$A$2005,A1512,$B$6:$B$2005,B1512)&gt;1,"DUPLICATE",""))</f>
        <v/>
      </c>
    </row>
    <row r="1513" spans="1:7">
      <c r="A1513" s="9"/>
      <c r="B1513" s="12"/>
      <c r="C1513" s="10"/>
      <c r="D1513" s="10"/>
      <c r="E1513" s="10"/>
      <c r="F1513" s="9"/>
      <c r="G1513" s="11">
        <f>IF(OR(A1513="",B1513=""),"",IF(COUNTIFS($A$6:$A$2005,A1513,$B$6:$B$2005,B1513)&gt;1,"DUPLICATE",""))</f>
        <v/>
      </c>
    </row>
    <row r="1514" spans="1:7">
      <c r="A1514" s="9"/>
      <c r="B1514" s="12"/>
      <c r="C1514" s="10"/>
      <c r="D1514" s="10"/>
      <c r="E1514" s="10"/>
      <c r="F1514" s="9"/>
      <c r="G1514" s="11">
        <f>IF(OR(A1514="",B1514=""),"",IF(COUNTIFS($A$6:$A$2005,A1514,$B$6:$B$2005,B1514)&gt;1,"DUPLICATE",""))</f>
        <v/>
      </c>
    </row>
    <row r="1515" spans="1:7">
      <c r="A1515" s="9"/>
      <c r="B1515" s="12"/>
      <c r="C1515" s="10"/>
      <c r="D1515" s="10"/>
      <c r="E1515" s="10"/>
      <c r="F1515" s="9"/>
      <c r="G1515" s="11">
        <f>IF(OR(A1515="",B1515=""),"",IF(COUNTIFS($A$6:$A$2005,A1515,$B$6:$B$2005,B1515)&gt;1,"DUPLICATE",""))</f>
        <v/>
      </c>
    </row>
    <row r="1516" spans="1:7">
      <c r="A1516" s="9"/>
      <c r="B1516" s="12"/>
      <c r="C1516" s="10"/>
      <c r="D1516" s="10"/>
      <c r="E1516" s="10"/>
      <c r="F1516" s="9"/>
      <c r="G1516" s="11">
        <f>IF(OR(A1516="",B1516=""),"",IF(COUNTIFS($A$6:$A$2005,A1516,$B$6:$B$2005,B1516)&gt;1,"DUPLICATE",""))</f>
        <v/>
      </c>
    </row>
    <row r="1517" spans="1:7">
      <c r="A1517" s="9"/>
      <c r="B1517" s="12"/>
      <c r="C1517" s="10"/>
      <c r="D1517" s="10"/>
      <c r="E1517" s="10"/>
      <c r="F1517" s="9"/>
      <c r="G1517" s="11">
        <f>IF(OR(A1517="",B1517=""),"",IF(COUNTIFS($A$6:$A$2005,A1517,$B$6:$B$2005,B1517)&gt;1,"DUPLICATE",""))</f>
        <v/>
      </c>
    </row>
    <row r="1518" spans="1:7">
      <c r="A1518" s="9"/>
      <c r="B1518" s="12"/>
      <c r="C1518" s="10"/>
      <c r="D1518" s="10"/>
      <c r="E1518" s="10"/>
      <c r="F1518" s="9"/>
      <c r="G1518" s="11">
        <f>IF(OR(A1518="",B1518=""),"",IF(COUNTIFS($A$6:$A$2005,A1518,$B$6:$B$2005,B1518)&gt;1,"DUPLICATE",""))</f>
        <v/>
      </c>
    </row>
    <row r="1519" spans="1:7">
      <c r="A1519" s="9"/>
      <c r="B1519" s="12"/>
      <c r="C1519" s="10"/>
      <c r="D1519" s="10"/>
      <c r="E1519" s="10"/>
      <c r="F1519" s="9"/>
      <c r="G1519" s="11">
        <f>IF(OR(A1519="",B1519=""),"",IF(COUNTIFS($A$6:$A$2005,A1519,$B$6:$B$2005,B1519)&gt;1,"DUPLICATE",""))</f>
        <v/>
      </c>
    </row>
    <row r="1520" spans="1:7">
      <c r="A1520" s="9"/>
      <c r="B1520" s="12"/>
      <c r="C1520" s="10"/>
      <c r="D1520" s="10"/>
      <c r="E1520" s="10"/>
      <c r="F1520" s="9"/>
      <c r="G1520" s="11">
        <f>IF(OR(A1520="",B1520=""),"",IF(COUNTIFS($A$6:$A$2005,A1520,$B$6:$B$2005,B1520)&gt;1,"DUPLICATE",""))</f>
        <v/>
      </c>
    </row>
    <row r="1521" spans="1:7">
      <c r="A1521" s="9"/>
      <c r="B1521" s="12"/>
      <c r="C1521" s="10"/>
      <c r="D1521" s="10"/>
      <c r="E1521" s="10"/>
      <c r="F1521" s="9"/>
      <c r="G1521" s="11">
        <f>IF(OR(A1521="",B1521=""),"",IF(COUNTIFS($A$6:$A$2005,A1521,$B$6:$B$2005,B1521)&gt;1,"DUPLICATE",""))</f>
        <v/>
      </c>
    </row>
    <row r="1522" spans="1:7">
      <c r="A1522" s="9"/>
      <c r="B1522" s="12"/>
      <c r="C1522" s="10"/>
      <c r="D1522" s="10"/>
      <c r="E1522" s="10"/>
      <c r="F1522" s="9"/>
      <c r="G1522" s="11">
        <f>IF(OR(A1522="",B1522=""),"",IF(COUNTIFS($A$6:$A$2005,A1522,$B$6:$B$2005,B1522)&gt;1,"DUPLICATE",""))</f>
        <v/>
      </c>
    </row>
    <row r="1523" spans="1:7">
      <c r="A1523" s="9"/>
      <c r="B1523" s="12"/>
      <c r="C1523" s="10"/>
      <c r="D1523" s="10"/>
      <c r="E1523" s="10"/>
      <c r="F1523" s="9"/>
      <c r="G1523" s="11">
        <f>IF(OR(A1523="",B1523=""),"",IF(COUNTIFS($A$6:$A$2005,A1523,$B$6:$B$2005,B1523)&gt;1,"DUPLICATE",""))</f>
        <v/>
      </c>
    </row>
    <row r="1524" spans="1:7">
      <c r="A1524" s="9"/>
      <c r="B1524" s="12"/>
      <c r="C1524" s="10"/>
      <c r="D1524" s="10"/>
      <c r="E1524" s="10"/>
      <c r="F1524" s="9"/>
      <c r="G1524" s="11">
        <f>IF(OR(A1524="",B1524=""),"",IF(COUNTIFS($A$6:$A$2005,A1524,$B$6:$B$2005,B1524)&gt;1,"DUPLICATE",""))</f>
        <v/>
      </c>
    </row>
    <row r="1525" spans="1:7">
      <c r="A1525" s="9"/>
      <c r="B1525" s="12"/>
      <c r="C1525" s="10"/>
      <c r="D1525" s="10"/>
      <c r="E1525" s="10"/>
      <c r="F1525" s="9"/>
      <c r="G1525" s="11">
        <f>IF(OR(A1525="",B1525=""),"",IF(COUNTIFS($A$6:$A$2005,A1525,$B$6:$B$2005,B1525)&gt;1,"DUPLICATE",""))</f>
        <v/>
      </c>
    </row>
    <row r="1526" spans="1:7">
      <c r="A1526" s="9"/>
      <c r="B1526" s="12"/>
      <c r="C1526" s="10"/>
      <c r="D1526" s="10"/>
      <c r="E1526" s="10"/>
      <c r="F1526" s="9"/>
      <c r="G1526" s="11">
        <f>IF(OR(A1526="",B1526=""),"",IF(COUNTIFS($A$6:$A$2005,A1526,$B$6:$B$2005,B1526)&gt;1,"DUPLICATE",""))</f>
        <v/>
      </c>
    </row>
    <row r="1527" spans="1:7">
      <c r="A1527" s="9"/>
      <c r="B1527" s="12"/>
      <c r="C1527" s="10"/>
      <c r="D1527" s="10"/>
      <c r="E1527" s="10"/>
      <c r="F1527" s="9"/>
      <c r="G1527" s="11">
        <f>IF(OR(A1527="",B1527=""),"",IF(COUNTIFS($A$6:$A$2005,A1527,$B$6:$B$2005,B1527)&gt;1,"DUPLICATE",""))</f>
        <v/>
      </c>
    </row>
    <row r="1528" spans="1:7">
      <c r="A1528" s="9"/>
      <c r="B1528" s="12"/>
      <c r="C1528" s="10"/>
      <c r="D1528" s="10"/>
      <c r="E1528" s="10"/>
      <c r="F1528" s="9"/>
      <c r="G1528" s="11">
        <f>IF(OR(A1528="",B1528=""),"",IF(COUNTIFS($A$6:$A$2005,A1528,$B$6:$B$2005,B1528)&gt;1,"DUPLICATE",""))</f>
        <v/>
      </c>
    </row>
    <row r="1529" spans="1:7">
      <c r="A1529" s="9"/>
      <c r="B1529" s="12"/>
      <c r="C1529" s="10"/>
      <c r="D1529" s="10"/>
      <c r="E1529" s="10"/>
      <c r="F1529" s="9"/>
      <c r="G1529" s="11">
        <f>IF(OR(A1529="",B1529=""),"",IF(COUNTIFS($A$6:$A$2005,A1529,$B$6:$B$2005,B1529)&gt;1,"DUPLICATE",""))</f>
        <v/>
      </c>
    </row>
    <row r="1530" spans="1:7">
      <c r="A1530" s="9"/>
      <c r="B1530" s="12"/>
      <c r="C1530" s="10"/>
      <c r="D1530" s="10"/>
      <c r="E1530" s="10"/>
      <c r="F1530" s="9"/>
      <c r="G1530" s="11">
        <f>IF(OR(A1530="",B1530=""),"",IF(COUNTIFS($A$6:$A$2005,A1530,$B$6:$B$2005,B1530)&gt;1,"DUPLICATE",""))</f>
        <v/>
      </c>
    </row>
    <row r="1531" spans="1:7">
      <c r="A1531" s="9"/>
      <c r="B1531" s="12"/>
      <c r="C1531" s="10"/>
      <c r="D1531" s="10"/>
      <c r="E1531" s="10"/>
      <c r="F1531" s="9"/>
      <c r="G1531" s="11">
        <f>IF(OR(A1531="",B1531=""),"",IF(COUNTIFS($A$6:$A$2005,A1531,$B$6:$B$2005,B1531)&gt;1,"DUPLICATE",""))</f>
        <v/>
      </c>
    </row>
    <row r="1532" spans="1:7">
      <c r="A1532" s="9"/>
      <c r="B1532" s="12"/>
      <c r="C1532" s="10"/>
      <c r="D1532" s="10"/>
      <c r="E1532" s="10"/>
      <c r="F1532" s="9"/>
      <c r="G1532" s="11">
        <f>IF(OR(A1532="",B1532=""),"",IF(COUNTIFS($A$6:$A$2005,A1532,$B$6:$B$2005,B1532)&gt;1,"DUPLICATE",""))</f>
        <v/>
      </c>
    </row>
    <row r="1533" spans="1:7">
      <c r="A1533" s="9"/>
      <c r="B1533" s="12"/>
      <c r="C1533" s="10"/>
      <c r="D1533" s="10"/>
      <c r="E1533" s="10"/>
      <c r="F1533" s="9"/>
      <c r="G1533" s="11">
        <f>IF(OR(A1533="",B1533=""),"",IF(COUNTIFS($A$6:$A$2005,A1533,$B$6:$B$2005,B1533)&gt;1,"DUPLICATE",""))</f>
        <v/>
      </c>
    </row>
    <row r="1534" spans="1:7">
      <c r="A1534" s="9"/>
      <c r="B1534" s="12"/>
      <c r="C1534" s="10"/>
      <c r="D1534" s="10"/>
      <c r="E1534" s="10"/>
      <c r="F1534" s="9"/>
      <c r="G1534" s="11">
        <f>IF(OR(A1534="",B1534=""),"",IF(COUNTIFS($A$6:$A$2005,A1534,$B$6:$B$2005,B1534)&gt;1,"DUPLICATE",""))</f>
        <v/>
      </c>
    </row>
    <row r="1535" spans="1:7">
      <c r="A1535" s="9"/>
      <c r="B1535" s="12"/>
      <c r="C1535" s="10"/>
      <c r="D1535" s="10"/>
      <c r="E1535" s="10"/>
      <c r="F1535" s="9"/>
      <c r="G1535" s="11">
        <f>IF(OR(A1535="",B1535=""),"",IF(COUNTIFS($A$6:$A$2005,A1535,$B$6:$B$2005,B1535)&gt;1,"DUPLICATE",""))</f>
        <v/>
      </c>
    </row>
    <row r="1536" spans="1:7">
      <c r="A1536" s="9"/>
      <c r="B1536" s="12"/>
      <c r="C1536" s="10"/>
      <c r="D1536" s="10"/>
      <c r="E1536" s="10"/>
      <c r="F1536" s="9"/>
      <c r="G1536" s="11">
        <f>IF(OR(A1536="",B1536=""),"",IF(COUNTIFS($A$6:$A$2005,A1536,$B$6:$B$2005,B1536)&gt;1,"DUPLICATE",""))</f>
        <v/>
      </c>
    </row>
    <row r="1537" spans="1:7">
      <c r="A1537" s="9"/>
      <c r="B1537" s="12"/>
      <c r="C1537" s="10"/>
      <c r="D1537" s="10"/>
      <c r="E1537" s="10"/>
      <c r="F1537" s="9"/>
      <c r="G1537" s="11">
        <f>IF(OR(A1537="",B1537=""),"",IF(COUNTIFS($A$6:$A$2005,A1537,$B$6:$B$2005,B1537)&gt;1,"DUPLICATE",""))</f>
        <v/>
      </c>
    </row>
    <row r="1538" spans="1:7">
      <c r="A1538" s="9"/>
      <c r="B1538" s="12"/>
      <c r="C1538" s="10"/>
      <c r="D1538" s="10"/>
      <c r="E1538" s="10"/>
      <c r="F1538" s="9"/>
      <c r="G1538" s="11">
        <f>IF(OR(A1538="",B1538=""),"",IF(COUNTIFS($A$6:$A$2005,A1538,$B$6:$B$2005,B1538)&gt;1,"DUPLICATE",""))</f>
        <v/>
      </c>
    </row>
    <row r="1539" spans="1:7">
      <c r="A1539" s="9"/>
      <c r="B1539" s="12"/>
      <c r="C1539" s="10"/>
      <c r="D1539" s="10"/>
      <c r="E1539" s="10"/>
      <c r="F1539" s="9"/>
      <c r="G1539" s="11">
        <f>IF(OR(A1539="",B1539=""),"",IF(COUNTIFS($A$6:$A$2005,A1539,$B$6:$B$2005,B1539)&gt;1,"DUPLICATE",""))</f>
        <v/>
      </c>
    </row>
    <row r="1540" spans="1:7">
      <c r="A1540" s="9"/>
      <c r="B1540" s="12"/>
      <c r="C1540" s="10"/>
      <c r="D1540" s="10"/>
      <c r="E1540" s="10"/>
      <c r="F1540" s="9"/>
      <c r="G1540" s="11">
        <f>IF(OR(A1540="",B1540=""),"",IF(COUNTIFS($A$6:$A$2005,A1540,$B$6:$B$2005,B1540)&gt;1,"DUPLICATE",""))</f>
        <v/>
      </c>
    </row>
    <row r="1541" spans="1:7">
      <c r="A1541" s="9"/>
      <c r="B1541" s="12"/>
      <c r="C1541" s="10"/>
      <c r="D1541" s="10"/>
      <c r="E1541" s="10"/>
      <c r="F1541" s="9"/>
      <c r="G1541" s="11">
        <f>IF(OR(A1541="",B1541=""),"",IF(COUNTIFS($A$6:$A$2005,A1541,$B$6:$B$2005,B1541)&gt;1,"DUPLICATE",""))</f>
        <v/>
      </c>
    </row>
    <row r="1542" spans="1:7">
      <c r="A1542" s="9"/>
      <c r="B1542" s="12"/>
      <c r="C1542" s="10"/>
      <c r="D1542" s="10"/>
      <c r="E1542" s="10"/>
      <c r="F1542" s="9"/>
      <c r="G1542" s="11">
        <f>IF(OR(A1542="",B1542=""),"",IF(COUNTIFS($A$6:$A$2005,A1542,$B$6:$B$2005,B1542)&gt;1,"DUPLICATE",""))</f>
        <v/>
      </c>
    </row>
    <row r="1543" spans="1:7">
      <c r="A1543" s="9"/>
      <c r="B1543" s="12"/>
      <c r="C1543" s="10"/>
      <c r="D1543" s="10"/>
      <c r="E1543" s="10"/>
      <c r="F1543" s="9"/>
      <c r="G1543" s="11">
        <f>IF(OR(A1543="",B1543=""),"",IF(COUNTIFS($A$6:$A$2005,A1543,$B$6:$B$2005,B1543)&gt;1,"DUPLICATE",""))</f>
        <v/>
      </c>
    </row>
    <row r="1544" spans="1:7">
      <c r="A1544" s="9"/>
      <c r="B1544" s="12"/>
      <c r="C1544" s="10"/>
      <c r="D1544" s="10"/>
      <c r="E1544" s="10"/>
      <c r="F1544" s="9"/>
      <c r="G1544" s="11">
        <f>IF(OR(A1544="",B1544=""),"",IF(COUNTIFS($A$6:$A$2005,A1544,$B$6:$B$2005,B1544)&gt;1,"DUPLICATE",""))</f>
        <v/>
      </c>
    </row>
    <row r="1545" spans="1:7">
      <c r="A1545" s="9"/>
      <c r="B1545" s="12"/>
      <c r="C1545" s="10"/>
      <c r="D1545" s="10"/>
      <c r="E1545" s="10"/>
      <c r="F1545" s="9"/>
      <c r="G1545" s="11">
        <f>IF(OR(A1545="",B1545=""),"",IF(COUNTIFS($A$6:$A$2005,A1545,$B$6:$B$2005,B1545)&gt;1,"DUPLICATE",""))</f>
        <v/>
      </c>
    </row>
    <row r="1546" spans="1:7">
      <c r="A1546" s="9"/>
      <c r="B1546" s="12"/>
      <c r="C1546" s="10"/>
      <c r="D1546" s="10"/>
      <c r="E1546" s="10"/>
      <c r="F1546" s="9"/>
      <c r="G1546" s="11">
        <f>IF(OR(A1546="",B1546=""),"",IF(COUNTIFS($A$6:$A$2005,A1546,$B$6:$B$2005,B1546)&gt;1,"DUPLICATE",""))</f>
        <v/>
      </c>
    </row>
    <row r="1547" spans="1:7">
      <c r="A1547" s="9"/>
      <c r="B1547" s="12"/>
      <c r="C1547" s="10"/>
      <c r="D1547" s="10"/>
      <c r="E1547" s="10"/>
      <c r="F1547" s="9"/>
      <c r="G1547" s="11">
        <f>IF(OR(A1547="",B1547=""),"",IF(COUNTIFS($A$6:$A$2005,A1547,$B$6:$B$2005,B1547)&gt;1,"DUPLICATE",""))</f>
        <v/>
      </c>
    </row>
    <row r="1548" spans="1:7">
      <c r="A1548" s="9"/>
      <c r="B1548" s="12"/>
      <c r="C1548" s="10"/>
      <c r="D1548" s="10"/>
      <c r="E1548" s="10"/>
      <c r="F1548" s="9"/>
      <c r="G1548" s="11">
        <f>IF(OR(A1548="",B1548=""),"",IF(COUNTIFS($A$6:$A$2005,A1548,$B$6:$B$2005,B1548)&gt;1,"DUPLICATE",""))</f>
        <v/>
      </c>
    </row>
    <row r="1549" spans="1:7">
      <c r="A1549" s="9"/>
      <c r="B1549" s="12"/>
      <c r="C1549" s="10"/>
      <c r="D1549" s="10"/>
      <c r="E1549" s="10"/>
      <c r="F1549" s="9"/>
      <c r="G1549" s="11">
        <f>IF(OR(A1549="",B1549=""),"",IF(COUNTIFS($A$6:$A$2005,A1549,$B$6:$B$2005,B1549)&gt;1,"DUPLICATE",""))</f>
        <v/>
      </c>
    </row>
    <row r="1550" spans="1:7">
      <c r="A1550" s="9"/>
      <c r="B1550" s="12"/>
      <c r="C1550" s="10"/>
      <c r="D1550" s="10"/>
      <c r="E1550" s="10"/>
      <c r="F1550" s="9"/>
      <c r="G1550" s="11">
        <f>IF(OR(A1550="",B1550=""),"",IF(COUNTIFS($A$6:$A$2005,A1550,$B$6:$B$2005,B1550)&gt;1,"DUPLICATE",""))</f>
        <v/>
      </c>
    </row>
    <row r="1551" spans="1:7">
      <c r="A1551" s="9"/>
      <c r="B1551" s="12"/>
      <c r="C1551" s="10"/>
      <c r="D1551" s="10"/>
      <c r="E1551" s="10"/>
      <c r="F1551" s="9"/>
      <c r="G1551" s="11">
        <f>IF(OR(A1551="",B1551=""),"",IF(COUNTIFS($A$6:$A$2005,A1551,$B$6:$B$2005,B1551)&gt;1,"DUPLICATE",""))</f>
        <v/>
      </c>
    </row>
    <row r="1552" spans="1:7">
      <c r="A1552" s="9"/>
      <c r="B1552" s="12"/>
      <c r="C1552" s="10"/>
      <c r="D1552" s="10"/>
      <c r="E1552" s="10"/>
      <c r="F1552" s="9"/>
      <c r="G1552" s="11">
        <f>IF(OR(A1552="",B1552=""),"",IF(COUNTIFS($A$6:$A$2005,A1552,$B$6:$B$2005,B1552)&gt;1,"DUPLICATE",""))</f>
        <v/>
      </c>
    </row>
    <row r="1553" spans="1:7">
      <c r="A1553" s="9"/>
      <c r="B1553" s="12"/>
      <c r="C1553" s="10"/>
      <c r="D1553" s="10"/>
      <c r="E1553" s="10"/>
      <c r="F1553" s="9"/>
      <c r="G1553" s="11">
        <f>IF(OR(A1553="",B1553=""),"",IF(COUNTIFS($A$6:$A$2005,A1553,$B$6:$B$2005,B1553)&gt;1,"DUPLICATE",""))</f>
        <v/>
      </c>
    </row>
    <row r="1554" spans="1:7">
      <c r="A1554" s="9"/>
      <c r="B1554" s="12"/>
      <c r="C1554" s="10"/>
      <c r="D1554" s="10"/>
      <c r="E1554" s="10"/>
      <c r="F1554" s="9"/>
      <c r="G1554" s="11">
        <f>IF(OR(A1554="",B1554=""),"",IF(COUNTIFS($A$6:$A$2005,A1554,$B$6:$B$2005,B1554)&gt;1,"DUPLICATE",""))</f>
        <v/>
      </c>
    </row>
    <row r="1555" spans="1:7">
      <c r="A1555" s="9"/>
      <c r="B1555" s="12"/>
      <c r="C1555" s="10"/>
      <c r="D1555" s="10"/>
      <c r="E1555" s="10"/>
      <c r="F1555" s="9"/>
      <c r="G1555" s="11">
        <f>IF(OR(A1555="",B1555=""),"",IF(COUNTIFS($A$6:$A$2005,A1555,$B$6:$B$2005,B1555)&gt;1,"DUPLICATE",""))</f>
        <v/>
      </c>
    </row>
    <row r="1556" spans="1:7">
      <c r="A1556" s="9"/>
      <c r="B1556" s="12"/>
      <c r="C1556" s="10"/>
      <c r="D1556" s="10"/>
      <c r="E1556" s="10"/>
      <c r="F1556" s="9"/>
      <c r="G1556" s="11">
        <f>IF(OR(A1556="",B1556=""),"",IF(COUNTIFS($A$6:$A$2005,A1556,$B$6:$B$2005,B1556)&gt;1,"DUPLICATE",""))</f>
        <v/>
      </c>
    </row>
    <row r="1557" spans="1:7">
      <c r="A1557" s="9"/>
      <c r="B1557" s="12"/>
      <c r="C1557" s="10"/>
      <c r="D1557" s="10"/>
      <c r="E1557" s="10"/>
      <c r="F1557" s="9"/>
      <c r="G1557" s="11">
        <f>IF(OR(A1557="",B1557=""),"",IF(COUNTIFS($A$6:$A$2005,A1557,$B$6:$B$2005,B1557)&gt;1,"DUPLICATE",""))</f>
        <v/>
      </c>
    </row>
    <row r="1558" spans="1:7">
      <c r="A1558" s="9"/>
      <c r="B1558" s="12"/>
      <c r="C1558" s="10"/>
      <c r="D1558" s="10"/>
      <c r="E1558" s="10"/>
      <c r="F1558" s="9"/>
      <c r="G1558" s="11">
        <f>IF(OR(A1558="",B1558=""),"",IF(COUNTIFS($A$6:$A$2005,A1558,$B$6:$B$2005,B1558)&gt;1,"DUPLICATE",""))</f>
        <v/>
      </c>
    </row>
    <row r="1559" spans="1:7">
      <c r="A1559" s="9"/>
      <c r="B1559" s="12"/>
      <c r="C1559" s="10"/>
      <c r="D1559" s="10"/>
      <c r="E1559" s="10"/>
      <c r="F1559" s="9"/>
      <c r="G1559" s="11">
        <f>IF(OR(A1559="",B1559=""),"",IF(COUNTIFS($A$6:$A$2005,A1559,$B$6:$B$2005,B1559)&gt;1,"DUPLICATE",""))</f>
        <v/>
      </c>
    </row>
    <row r="1560" spans="1:7">
      <c r="A1560" s="9"/>
      <c r="B1560" s="12"/>
      <c r="C1560" s="10"/>
      <c r="D1560" s="10"/>
      <c r="E1560" s="10"/>
      <c r="F1560" s="9"/>
      <c r="G1560" s="11">
        <f>IF(OR(A1560="",B1560=""),"",IF(COUNTIFS($A$6:$A$2005,A1560,$B$6:$B$2005,B1560)&gt;1,"DUPLICATE",""))</f>
        <v/>
      </c>
    </row>
    <row r="1561" spans="1:7">
      <c r="A1561" s="9"/>
      <c r="B1561" s="12"/>
      <c r="C1561" s="10"/>
      <c r="D1561" s="10"/>
      <c r="E1561" s="10"/>
      <c r="F1561" s="9"/>
      <c r="G1561" s="11">
        <f>IF(OR(A1561="",B1561=""),"",IF(COUNTIFS($A$6:$A$2005,A1561,$B$6:$B$2005,B1561)&gt;1,"DUPLICATE",""))</f>
        <v/>
      </c>
    </row>
    <row r="1562" spans="1:7">
      <c r="A1562" s="9"/>
      <c r="B1562" s="12"/>
      <c r="C1562" s="10"/>
      <c r="D1562" s="10"/>
      <c r="E1562" s="10"/>
      <c r="F1562" s="9"/>
      <c r="G1562" s="11">
        <f>IF(OR(A1562="",B1562=""),"",IF(COUNTIFS($A$6:$A$2005,A1562,$B$6:$B$2005,B1562)&gt;1,"DUPLICATE",""))</f>
        <v/>
      </c>
    </row>
    <row r="1563" spans="1:7">
      <c r="A1563" s="9"/>
      <c r="B1563" s="12"/>
      <c r="C1563" s="10"/>
      <c r="D1563" s="10"/>
      <c r="E1563" s="10"/>
      <c r="F1563" s="9"/>
      <c r="G1563" s="11">
        <f>IF(OR(A1563="",B1563=""),"",IF(COUNTIFS($A$6:$A$2005,A1563,$B$6:$B$2005,B1563)&gt;1,"DUPLICATE",""))</f>
        <v/>
      </c>
    </row>
    <row r="1564" spans="1:7">
      <c r="A1564" s="9"/>
      <c r="B1564" s="12"/>
      <c r="C1564" s="10"/>
      <c r="D1564" s="10"/>
      <c r="E1564" s="10"/>
      <c r="F1564" s="9"/>
      <c r="G1564" s="11">
        <f>IF(OR(A1564="",B1564=""),"",IF(COUNTIFS($A$6:$A$2005,A1564,$B$6:$B$2005,B1564)&gt;1,"DUPLICATE",""))</f>
        <v/>
      </c>
    </row>
    <row r="1565" spans="1:7">
      <c r="A1565" s="9"/>
      <c r="B1565" s="12"/>
      <c r="C1565" s="10"/>
      <c r="D1565" s="10"/>
      <c r="E1565" s="10"/>
      <c r="F1565" s="9"/>
      <c r="G1565" s="11">
        <f>IF(OR(A1565="",B1565=""),"",IF(COUNTIFS($A$6:$A$2005,A1565,$B$6:$B$2005,B1565)&gt;1,"DUPLICATE",""))</f>
        <v/>
      </c>
    </row>
    <row r="1566" spans="1:7">
      <c r="A1566" s="9"/>
      <c r="B1566" s="12"/>
      <c r="C1566" s="10"/>
      <c r="D1566" s="10"/>
      <c r="E1566" s="10"/>
      <c r="F1566" s="9"/>
      <c r="G1566" s="11">
        <f>IF(OR(A1566="",B1566=""),"",IF(COUNTIFS($A$6:$A$2005,A1566,$B$6:$B$2005,B1566)&gt;1,"DUPLICATE",""))</f>
        <v/>
      </c>
    </row>
    <row r="1567" spans="1:7">
      <c r="A1567" s="9"/>
      <c r="B1567" s="12"/>
      <c r="C1567" s="10"/>
      <c r="D1567" s="10"/>
      <c r="E1567" s="10"/>
      <c r="F1567" s="9"/>
      <c r="G1567" s="11">
        <f>IF(OR(A1567="",B1567=""),"",IF(COUNTIFS($A$6:$A$2005,A1567,$B$6:$B$2005,B1567)&gt;1,"DUPLICATE",""))</f>
        <v/>
      </c>
    </row>
    <row r="1568" spans="1:7">
      <c r="A1568" s="9"/>
      <c r="B1568" s="12"/>
      <c r="C1568" s="10"/>
      <c r="D1568" s="10"/>
      <c r="E1568" s="10"/>
      <c r="F1568" s="9"/>
      <c r="G1568" s="11">
        <f>IF(OR(A1568="",B1568=""),"",IF(COUNTIFS($A$6:$A$2005,A1568,$B$6:$B$2005,B1568)&gt;1,"DUPLICATE",""))</f>
        <v/>
      </c>
    </row>
    <row r="1569" spans="1:7">
      <c r="A1569" s="9"/>
      <c r="B1569" s="12"/>
      <c r="C1569" s="10"/>
      <c r="D1569" s="10"/>
      <c r="E1569" s="10"/>
      <c r="F1569" s="9"/>
      <c r="G1569" s="11">
        <f>IF(OR(A1569="",B1569=""),"",IF(COUNTIFS($A$6:$A$2005,A1569,$B$6:$B$2005,B1569)&gt;1,"DUPLICATE",""))</f>
        <v/>
      </c>
    </row>
    <row r="1570" spans="1:7">
      <c r="A1570" s="9"/>
      <c r="B1570" s="12"/>
      <c r="C1570" s="10"/>
      <c r="D1570" s="10"/>
      <c r="E1570" s="10"/>
      <c r="F1570" s="9"/>
      <c r="G1570" s="11">
        <f>IF(OR(A1570="",B1570=""),"",IF(COUNTIFS($A$6:$A$2005,A1570,$B$6:$B$2005,B1570)&gt;1,"DUPLICATE",""))</f>
        <v/>
      </c>
    </row>
    <row r="1571" spans="1:7">
      <c r="A1571" s="9"/>
      <c r="B1571" s="12"/>
      <c r="C1571" s="10"/>
      <c r="D1571" s="10"/>
      <c r="E1571" s="10"/>
      <c r="F1571" s="9"/>
      <c r="G1571" s="11">
        <f>IF(OR(A1571="",B1571=""),"",IF(COUNTIFS($A$6:$A$2005,A1571,$B$6:$B$2005,B1571)&gt;1,"DUPLICATE",""))</f>
        <v/>
      </c>
    </row>
    <row r="1572" spans="1:7">
      <c r="A1572" s="9"/>
      <c r="B1572" s="12"/>
      <c r="C1572" s="10"/>
      <c r="D1572" s="10"/>
      <c r="E1572" s="10"/>
      <c r="F1572" s="9"/>
      <c r="G1572" s="11">
        <f>IF(OR(A1572="",B1572=""),"",IF(COUNTIFS($A$6:$A$2005,A1572,$B$6:$B$2005,B1572)&gt;1,"DUPLICATE",""))</f>
        <v/>
      </c>
    </row>
    <row r="1573" spans="1:7">
      <c r="A1573" s="9"/>
      <c r="B1573" s="12"/>
      <c r="C1573" s="10"/>
      <c r="D1573" s="10"/>
      <c r="E1573" s="10"/>
      <c r="F1573" s="9"/>
      <c r="G1573" s="11">
        <f>IF(OR(A1573="",B1573=""),"",IF(COUNTIFS($A$6:$A$2005,A1573,$B$6:$B$2005,B1573)&gt;1,"DUPLICATE",""))</f>
        <v/>
      </c>
    </row>
    <row r="1574" spans="1:7">
      <c r="A1574" s="9"/>
      <c r="B1574" s="12"/>
      <c r="C1574" s="10"/>
      <c r="D1574" s="10"/>
      <c r="E1574" s="10"/>
      <c r="F1574" s="9"/>
      <c r="G1574" s="11">
        <f>IF(OR(A1574="",B1574=""),"",IF(COUNTIFS($A$6:$A$2005,A1574,$B$6:$B$2005,B1574)&gt;1,"DUPLICATE",""))</f>
        <v/>
      </c>
    </row>
    <row r="1575" spans="1:7">
      <c r="A1575" s="9"/>
      <c r="B1575" s="12"/>
      <c r="C1575" s="10"/>
      <c r="D1575" s="10"/>
      <c r="E1575" s="10"/>
      <c r="F1575" s="9"/>
      <c r="G1575" s="11">
        <f>IF(OR(A1575="",B1575=""),"",IF(COUNTIFS($A$6:$A$2005,A1575,$B$6:$B$2005,B1575)&gt;1,"DUPLICATE",""))</f>
        <v/>
      </c>
    </row>
    <row r="1576" spans="1:7">
      <c r="A1576" s="9"/>
      <c r="B1576" s="12"/>
      <c r="C1576" s="10"/>
      <c r="D1576" s="10"/>
      <c r="E1576" s="10"/>
      <c r="F1576" s="9"/>
      <c r="G1576" s="11">
        <f>IF(OR(A1576="",B1576=""),"",IF(COUNTIFS($A$6:$A$2005,A1576,$B$6:$B$2005,B1576)&gt;1,"DUPLICATE",""))</f>
        <v/>
      </c>
    </row>
    <row r="1577" spans="1:7">
      <c r="A1577" s="9"/>
      <c r="B1577" s="12"/>
      <c r="C1577" s="10"/>
      <c r="D1577" s="10"/>
      <c r="E1577" s="10"/>
      <c r="F1577" s="9"/>
      <c r="G1577" s="11">
        <f>IF(OR(A1577="",B1577=""),"",IF(COUNTIFS($A$6:$A$2005,A1577,$B$6:$B$2005,B1577)&gt;1,"DUPLICATE",""))</f>
        <v/>
      </c>
    </row>
    <row r="1578" spans="1:7">
      <c r="A1578" s="9"/>
      <c r="B1578" s="12"/>
      <c r="C1578" s="10"/>
      <c r="D1578" s="10"/>
      <c r="E1578" s="10"/>
      <c r="F1578" s="9"/>
      <c r="G1578" s="11">
        <f>IF(OR(A1578="",B1578=""),"",IF(COUNTIFS($A$6:$A$2005,A1578,$B$6:$B$2005,B1578)&gt;1,"DUPLICATE",""))</f>
        <v/>
      </c>
    </row>
    <row r="1579" spans="1:7">
      <c r="A1579" s="9"/>
      <c r="B1579" s="12"/>
      <c r="C1579" s="10"/>
      <c r="D1579" s="10"/>
      <c r="E1579" s="10"/>
      <c r="F1579" s="9"/>
      <c r="G1579" s="11">
        <f>IF(OR(A1579="",B1579=""),"",IF(COUNTIFS($A$6:$A$2005,A1579,$B$6:$B$2005,B1579)&gt;1,"DUPLICATE",""))</f>
        <v/>
      </c>
    </row>
    <row r="1580" spans="1:7">
      <c r="A1580" s="9"/>
      <c r="B1580" s="12"/>
      <c r="C1580" s="10"/>
      <c r="D1580" s="10"/>
      <c r="E1580" s="10"/>
      <c r="F1580" s="9"/>
      <c r="G1580" s="11">
        <f>IF(OR(A1580="",B1580=""),"",IF(COUNTIFS($A$6:$A$2005,A1580,$B$6:$B$2005,B1580)&gt;1,"DUPLICATE",""))</f>
        <v/>
      </c>
    </row>
    <row r="1581" spans="1:7">
      <c r="A1581" s="9"/>
      <c r="B1581" s="12"/>
      <c r="C1581" s="10"/>
      <c r="D1581" s="10"/>
      <c r="E1581" s="10"/>
      <c r="F1581" s="9"/>
      <c r="G1581" s="11">
        <f>IF(OR(A1581="",B1581=""),"",IF(COUNTIFS($A$6:$A$2005,A1581,$B$6:$B$2005,B1581)&gt;1,"DUPLICATE",""))</f>
        <v/>
      </c>
    </row>
    <row r="1582" spans="1:7">
      <c r="A1582" s="9"/>
      <c r="B1582" s="12"/>
      <c r="C1582" s="10"/>
      <c r="D1582" s="10"/>
      <c r="E1582" s="10"/>
      <c r="F1582" s="9"/>
      <c r="G1582" s="11">
        <f>IF(OR(A1582="",B1582=""),"",IF(COUNTIFS($A$6:$A$2005,A1582,$B$6:$B$2005,B1582)&gt;1,"DUPLICATE",""))</f>
        <v/>
      </c>
    </row>
    <row r="1583" spans="1:7">
      <c r="A1583" s="9"/>
      <c r="B1583" s="12"/>
      <c r="C1583" s="10"/>
      <c r="D1583" s="10"/>
      <c r="E1583" s="10"/>
      <c r="F1583" s="9"/>
      <c r="G1583" s="11">
        <f>IF(OR(A1583="",B1583=""),"",IF(COUNTIFS($A$6:$A$2005,A1583,$B$6:$B$2005,B1583)&gt;1,"DUPLICATE",""))</f>
        <v/>
      </c>
    </row>
    <row r="1584" spans="1:7">
      <c r="A1584" s="9"/>
      <c r="B1584" s="12"/>
      <c r="C1584" s="10"/>
      <c r="D1584" s="10"/>
      <c r="E1584" s="10"/>
      <c r="F1584" s="9"/>
      <c r="G1584" s="11">
        <f>IF(OR(A1584="",B1584=""),"",IF(COUNTIFS($A$6:$A$2005,A1584,$B$6:$B$2005,B1584)&gt;1,"DUPLICATE",""))</f>
        <v/>
      </c>
    </row>
    <row r="1585" spans="1:7">
      <c r="A1585" s="9"/>
      <c r="B1585" s="12"/>
      <c r="C1585" s="10"/>
      <c r="D1585" s="10"/>
      <c r="E1585" s="10"/>
      <c r="F1585" s="9"/>
      <c r="G1585" s="11">
        <f>IF(OR(A1585="",B1585=""),"",IF(COUNTIFS($A$6:$A$2005,A1585,$B$6:$B$2005,B1585)&gt;1,"DUPLICATE",""))</f>
        <v/>
      </c>
    </row>
    <row r="1586" spans="1:7">
      <c r="A1586" s="9"/>
      <c r="B1586" s="12"/>
      <c r="C1586" s="10"/>
      <c r="D1586" s="10"/>
      <c r="E1586" s="10"/>
      <c r="F1586" s="9"/>
      <c r="G1586" s="11">
        <f>IF(OR(A1586="",B1586=""),"",IF(COUNTIFS($A$6:$A$2005,A1586,$B$6:$B$2005,B1586)&gt;1,"DUPLICATE",""))</f>
        <v/>
      </c>
    </row>
    <row r="1587" spans="1:7">
      <c r="A1587" s="9"/>
      <c r="B1587" s="12"/>
      <c r="C1587" s="10"/>
      <c r="D1587" s="10"/>
      <c r="E1587" s="10"/>
      <c r="F1587" s="9"/>
      <c r="G1587" s="11">
        <f>IF(OR(A1587="",B1587=""),"",IF(COUNTIFS($A$6:$A$2005,A1587,$B$6:$B$2005,B1587)&gt;1,"DUPLICATE",""))</f>
        <v/>
      </c>
    </row>
    <row r="1588" spans="1:7">
      <c r="A1588" s="9"/>
      <c r="B1588" s="12"/>
      <c r="C1588" s="10"/>
      <c r="D1588" s="10"/>
      <c r="E1588" s="10"/>
      <c r="F1588" s="9"/>
      <c r="G1588" s="11">
        <f>IF(OR(A1588="",B1588=""),"",IF(COUNTIFS($A$6:$A$2005,A1588,$B$6:$B$2005,B1588)&gt;1,"DUPLICATE",""))</f>
        <v/>
      </c>
    </row>
    <row r="1589" spans="1:7">
      <c r="A1589" s="9"/>
      <c r="B1589" s="12"/>
      <c r="C1589" s="10"/>
      <c r="D1589" s="10"/>
      <c r="E1589" s="10"/>
      <c r="F1589" s="9"/>
      <c r="G1589" s="11">
        <f>IF(OR(A1589="",B1589=""),"",IF(COUNTIFS($A$6:$A$2005,A1589,$B$6:$B$2005,B1589)&gt;1,"DUPLICATE",""))</f>
        <v/>
      </c>
    </row>
    <row r="1590" spans="1:7">
      <c r="A1590" s="9"/>
      <c r="B1590" s="12"/>
      <c r="C1590" s="10"/>
      <c r="D1590" s="10"/>
      <c r="E1590" s="10"/>
      <c r="F1590" s="9"/>
      <c r="G1590" s="11">
        <f>IF(OR(A1590="",B1590=""),"",IF(COUNTIFS($A$6:$A$2005,A1590,$B$6:$B$2005,B1590)&gt;1,"DUPLICATE",""))</f>
        <v/>
      </c>
    </row>
    <row r="1591" spans="1:7">
      <c r="A1591" s="9"/>
      <c r="B1591" s="12"/>
      <c r="C1591" s="10"/>
      <c r="D1591" s="10"/>
      <c r="E1591" s="10"/>
      <c r="F1591" s="9"/>
      <c r="G1591" s="11">
        <f>IF(OR(A1591="",B1591=""),"",IF(COUNTIFS($A$6:$A$2005,A1591,$B$6:$B$2005,B1591)&gt;1,"DUPLICATE",""))</f>
        <v/>
      </c>
    </row>
    <row r="1592" spans="1:7">
      <c r="A1592" s="9"/>
      <c r="B1592" s="12"/>
      <c r="C1592" s="10"/>
      <c r="D1592" s="10"/>
      <c r="E1592" s="10"/>
      <c r="F1592" s="9"/>
      <c r="G1592" s="11">
        <f>IF(OR(A1592="",B1592=""),"",IF(COUNTIFS($A$6:$A$2005,A1592,$B$6:$B$2005,B1592)&gt;1,"DUPLICATE",""))</f>
        <v/>
      </c>
    </row>
    <row r="1593" spans="1:7">
      <c r="A1593" s="9"/>
      <c r="B1593" s="12"/>
      <c r="C1593" s="10"/>
      <c r="D1593" s="10"/>
      <c r="E1593" s="10"/>
      <c r="F1593" s="9"/>
      <c r="G1593" s="11">
        <f>IF(OR(A1593="",B1593=""),"",IF(COUNTIFS($A$6:$A$2005,A1593,$B$6:$B$2005,B1593)&gt;1,"DUPLICATE",""))</f>
        <v/>
      </c>
    </row>
    <row r="1594" spans="1:7">
      <c r="A1594" s="9"/>
      <c r="B1594" s="12"/>
      <c r="C1594" s="10"/>
      <c r="D1594" s="10"/>
      <c r="E1594" s="10"/>
      <c r="F1594" s="9"/>
      <c r="G1594" s="11">
        <f>IF(OR(A1594="",B1594=""),"",IF(COUNTIFS($A$6:$A$2005,A1594,$B$6:$B$2005,B1594)&gt;1,"DUPLICATE",""))</f>
        <v/>
      </c>
    </row>
    <row r="1595" spans="1:7">
      <c r="A1595" s="9"/>
      <c r="B1595" s="12"/>
      <c r="C1595" s="10"/>
      <c r="D1595" s="10"/>
      <c r="E1595" s="10"/>
      <c r="F1595" s="9"/>
      <c r="G1595" s="11">
        <f>IF(OR(A1595="",B1595=""),"",IF(COUNTIFS($A$6:$A$2005,A1595,$B$6:$B$2005,B1595)&gt;1,"DUPLICATE",""))</f>
        <v/>
      </c>
    </row>
    <row r="1596" spans="1:7">
      <c r="A1596" s="9"/>
      <c r="B1596" s="12"/>
      <c r="C1596" s="10"/>
      <c r="D1596" s="10"/>
      <c r="E1596" s="10"/>
      <c r="F1596" s="9"/>
      <c r="G1596" s="11">
        <f>IF(OR(A1596="",B1596=""),"",IF(COUNTIFS($A$6:$A$2005,A1596,$B$6:$B$2005,B1596)&gt;1,"DUPLICATE",""))</f>
        <v/>
      </c>
    </row>
    <row r="1597" spans="1:7">
      <c r="A1597" s="9"/>
      <c r="B1597" s="12"/>
      <c r="C1597" s="10"/>
      <c r="D1597" s="10"/>
      <c r="E1597" s="10"/>
      <c r="F1597" s="9"/>
      <c r="G1597" s="11">
        <f>IF(OR(A1597="",B1597=""),"",IF(COUNTIFS($A$6:$A$2005,A1597,$B$6:$B$2005,B1597)&gt;1,"DUPLICATE",""))</f>
        <v/>
      </c>
    </row>
    <row r="1598" spans="1:7">
      <c r="A1598" s="9"/>
      <c r="B1598" s="12"/>
      <c r="C1598" s="10"/>
      <c r="D1598" s="10"/>
      <c r="E1598" s="10"/>
      <c r="F1598" s="9"/>
      <c r="G1598" s="11">
        <f>IF(OR(A1598="",B1598=""),"",IF(COUNTIFS($A$6:$A$2005,A1598,$B$6:$B$2005,B1598)&gt;1,"DUPLICATE",""))</f>
        <v/>
      </c>
    </row>
    <row r="1599" spans="1:7">
      <c r="A1599" s="9"/>
      <c r="B1599" s="12"/>
      <c r="C1599" s="10"/>
      <c r="D1599" s="10"/>
      <c r="E1599" s="10"/>
      <c r="F1599" s="9"/>
      <c r="G1599" s="11">
        <f>IF(OR(A1599="",B1599=""),"",IF(COUNTIFS($A$6:$A$2005,A1599,$B$6:$B$2005,B1599)&gt;1,"DUPLICATE",""))</f>
        <v/>
      </c>
    </row>
    <row r="1600" spans="1:7">
      <c r="A1600" s="9"/>
      <c r="B1600" s="12"/>
      <c r="C1600" s="10"/>
      <c r="D1600" s="10"/>
      <c r="E1600" s="10"/>
      <c r="F1600" s="9"/>
      <c r="G1600" s="11">
        <f>IF(OR(A1600="",B1600=""),"",IF(COUNTIFS($A$6:$A$2005,A1600,$B$6:$B$2005,B1600)&gt;1,"DUPLICATE",""))</f>
        <v/>
      </c>
    </row>
    <row r="1601" spans="1:7">
      <c r="A1601" s="9"/>
      <c r="B1601" s="12"/>
      <c r="C1601" s="10"/>
      <c r="D1601" s="10"/>
      <c r="E1601" s="10"/>
      <c r="F1601" s="9"/>
      <c r="G1601" s="11">
        <f>IF(OR(A1601="",B1601=""),"",IF(COUNTIFS($A$6:$A$2005,A1601,$B$6:$B$2005,B1601)&gt;1,"DUPLICATE",""))</f>
        <v/>
      </c>
    </row>
    <row r="1602" spans="1:7">
      <c r="A1602" s="9"/>
      <c r="B1602" s="12"/>
      <c r="C1602" s="10"/>
      <c r="D1602" s="10"/>
      <c r="E1602" s="10"/>
      <c r="F1602" s="9"/>
      <c r="G1602" s="11">
        <f>IF(OR(A1602="",B1602=""),"",IF(COUNTIFS($A$6:$A$2005,A1602,$B$6:$B$2005,B1602)&gt;1,"DUPLICATE",""))</f>
        <v/>
      </c>
    </row>
    <row r="1603" spans="1:7">
      <c r="A1603" s="9"/>
      <c r="B1603" s="12"/>
      <c r="C1603" s="10"/>
      <c r="D1603" s="10"/>
      <c r="E1603" s="10"/>
      <c r="F1603" s="9"/>
      <c r="G1603" s="11">
        <f>IF(OR(A1603="",B1603=""),"",IF(COUNTIFS($A$6:$A$2005,A1603,$B$6:$B$2005,B1603)&gt;1,"DUPLICATE",""))</f>
        <v/>
      </c>
    </row>
    <row r="1604" spans="1:7">
      <c r="A1604" s="9"/>
      <c r="B1604" s="12"/>
      <c r="C1604" s="10"/>
      <c r="D1604" s="10"/>
      <c r="E1604" s="10"/>
      <c r="F1604" s="9"/>
      <c r="G1604" s="11">
        <f>IF(OR(A1604="",B1604=""),"",IF(COUNTIFS($A$6:$A$2005,A1604,$B$6:$B$2005,B1604)&gt;1,"DUPLICATE",""))</f>
        <v/>
      </c>
    </row>
    <row r="1605" spans="1:7">
      <c r="A1605" s="9"/>
      <c r="B1605" s="12"/>
      <c r="C1605" s="10"/>
      <c r="D1605" s="10"/>
      <c r="E1605" s="10"/>
      <c r="F1605" s="9"/>
      <c r="G1605" s="11">
        <f>IF(OR(A1605="",B1605=""),"",IF(COUNTIFS($A$6:$A$2005,A1605,$B$6:$B$2005,B1605)&gt;1,"DUPLICATE",""))</f>
        <v/>
      </c>
    </row>
    <row r="1606" spans="1:7">
      <c r="A1606" s="9"/>
      <c r="B1606" s="12"/>
      <c r="C1606" s="10"/>
      <c r="D1606" s="10"/>
      <c r="E1606" s="10"/>
      <c r="F1606" s="9"/>
      <c r="G1606" s="11">
        <f>IF(OR(A1606="",B1606=""),"",IF(COUNTIFS($A$6:$A$2005,A1606,$B$6:$B$2005,B1606)&gt;1,"DUPLICATE",""))</f>
        <v/>
      </c>
    </row>
    <row r="1607" spans="1:7">
      <c r="A1607" s="9"/>
      <c r="B1607" s="12"/>
      <c r="C1607" s="10"/>
      <c r="D1607" s="10"/>
      <c r="E1607" s="10"/>
      <c r="F1607" s="9"/>
      <c r="G1607" s="11">
        <f>IF(OR(A1607="",B1607=""),"",IF(COUNTIFS($A$6:$A$2005,A1607,$B$6:$B$2005,B1607)&gt;1,"DUPLICATE",""))</f>
        <v/>
      </c>
    </row>
    <row r="1608" spans="1:7">
      <c r="A1608" s="9"/>
      <c r="B1608" s="12"/>
      <c r="C1608" s="10"/>
      <c r="D1608" s="10"/>
      <c r="E1608" s="10"/>
      <c r="F1608" s="9"/>
      <c r="G1608" s="11">
        <f>IF(OR(A1608="",B1608=""),"",IF(COUNTIFS($A$6:$A$2005,A1608,$B$6:$B$2005,B1608)&gt;1,"DUPLICATE",""))</f>
        <v/>
      </c>
    </row>
    <row r="1609" spans="1:7">
      <c r="A1609" s="9"/>
      <c r="B1609" s="12"/>
      <c r="C1609" s="10"/>
      <c r="D1609" s="10"/>
      <c r="E1609" s="10"/>
      <c r="F1609" s="9"/>
      <c r="G1609" s="11">
        <f>IF(OR(A1609="",B1609=""),"",IF(COUNTIFS($A$6:$A$2005,A1609,$B$6:$B$2005,B1609)&gt;1,"DUPLICATE",""))</f>
        <v/>
      </c>
    </row>
    <row r="1610" spans="1:7">
      <c r="A1610" s="9"/>
      <c r="B1610" s="12"/>
      <c r="C1610" s="10"/>
      <c r="D1610" s="10"/>
      <c r="E1610" s="10"/>
      <c r="F1610" s="9"/>
      <c r="G1610" s="11">
        <f>IF(OR(A1610="",B1610=""),"",IF(COUNTIFS($A$6:$A$2005,A1610,$B$6:$B$2005,B1610)&gt;1,"DUPLICATE",""))</f>
        <v/>
      </c>
    </row>
    <row r="1611" spans="1:7">
      <c r="A1611" s="9"/>
      <c r="B1611" s="12"/>
      <c r="C1611" s="10"/>
      <c r="D1611" s="10"/>
      <c r="E1611" s="10"/>
      <c r="F1611" s="9"/>
      <c r="G1611" s="11">
        <f>IF(OR(A1611="",B1611=""),"",IF(COUNTIFS($A$6:$A$2005,A1611,$B$6:$B$2005,B1611)&gt;1,"DUPLICATE",""))</f>
        <v/>
      </c>
    </row>
    <row r="1612" spans="1:7">
      <c r="A1612" s="9"/>
      <c r="B1612" s="12"/>
      <c r="C1612" s="10"/>
      <c r="D1612" s="10"/>
      <c r="E1612" s="10"/>
      <c r="F1612" s="9"/>
      <c r="G1612" s="11">
        <f>IF(OR(A1612="",B1612=""),"",IF(COUNTIFS($A$6:$A$2005,A1612,$B$6:$B$2005,B1612)&gt;1,"DUPLICATE",""))</f>
        <v/>
      </c>
    </row>
    <row r="1613" spans="1:7">
      <c r="A1613" s="9"/>
      <c r="B1613" s="12"/>
      <c r="C1613" s="10"/>
      <c r="D1613" s="10"/>
      <c r="E1613" s="10"/>
      <c r="F1613" s="9"/>
      <c r="G1613" s="11">
        <f>IF(OR(A1613="",B1613=""),"",IF(COUNTIFS($A$6:$A$2005,A1613,$B$6:$B$2005,B1613)&gt;1,"DUPLICATE",""))</f>
        <v/>
      </c>
    </row>
    <row r="1614" spans="1:7">
      <c r="A1614" s="9"/>
      <c r="B1614" s="12"/>
      <c r="C1614" s="10"/>
      <c r="D1614" s="10"/>
      <c r="E1614" s="10"/>
      <c r="F1614" s="9"/>
      <c r="G1614" s="11">
        <f>IF(OR(A1614="",B1614=""),"",IF(COUNTIFS($A$6:$A$2005,A1614,$B$6:$B$2005,B1614)&gt;1,"DUPLICATE",""))</f>
        <v/>
      </c>
    </row>
    <row r="1615" spans="1:7">
      <c r="A1615" s="9"/>
      <c r="B1615" s="12"/>
      <c r="C1615" s="10"/>
      <c r="D1615" s="10"/>
      <c r="E1615" s="10"/>
      <c r="F1615" s="9"/>
      <c r="G1615" s="11">
        <f>IF(OR(A1615="",B1615=""),"",IF(COUNTIFS($A$6:$A$2005,A1615,$B$6:$B$2005,B1615)&gt;1,"DUPLICATE",""))</f>
        <v/>
      </c>
    </row>
    <row r="1616" spans="1:7">
      <c r="A1616" s="9"/>
      <c r="B1616" s="12"/>
      <c r="C1616" s="10"/>
      <c r="D1616" s="10"/>
      <c r="E1616" s="10"/>
      <c r="F1616" s="9"/>
      <c r="G1616" s="11">
        <f>IF(OR(A1616="",B1616=""),"",IF(COUNTIFS($A$6:$A$2005,A1616,$B$6:$B$2005,B1616)&gt;1,"DUPLICATE",""))</f>
        <v/>
      </c>
    </row>
    <row r="1617" spans="1:7">
      <c r="A1617" s="9"/>
      <c r="B1617" s="12"/>
      <c r="C1617" s="10"/>
      <c r="D1617" s="10"/>
      <c r="E1617" s="10"/>
      <c r="F1617" s="9"/>
      <c r="G1617" s="11">
        <f>IF(OR(A1617="",B1617=""),"",IF(COUNTIFS($A$6:$A$2005,A1617,$B$6:$B$2005,B1617)&gt;1,"DUPLICATE",""))</f>
        <v/>
      </c>
    </row>
    <row r="1618" spans="1:7">
      <c r="A1618" s="9"/>
      <c r="B1618" s="12"/>
      <c r="C1618" s="10"/>
      <c r="D1618" s="10"/>
      <c r="E1618" s="10"/>
      <c r="F1618" s="9"/>
      <c r="G1618" s="11">
        <f>IF(OR(A1618="",B1618=""),"",IF(COUNTIFS($A$6:$A$2005,A1618,$B$6:$B$2005,B1618)&gt;1,"DUPLICATE",""))</f>
        <v/>
      </c>
    </row>
    <row r="1619" spans="1:7">
      <c r="A1619" s="9"/>
      <c r="B1619" s="12"/>
      <c r="C1619" s="10"/>
      <c r="D1619" s="10"/>
      <c r="E1619" s="10"/>
      <c r="F1619" s="9"/>
      <c r="G1619" s="11">
        <f>IF(OR(A1619="",B1619=""),"",IF(COUNTIFS($A$6:$A$2005,A1619,$B$6:$B$2005,B1619)&gt;1,"DUPLICATE",""))</f>
        <v/>
      </c>
    </row>
    <row r="1620" spans="1:7">
      <c r="A1620" s="9"/>
      <c r="B1620" s="12"/>
      <c r="C1620" s="10"/>
      <c r="D1620" s="10"/>
      <c r="E1620" s="10"/>
      <c r="F1620" s="9"/>
      <c r="G1620" s="11">
        <f>IF(OR(A1620="",B1620=""),"",IF(COUNTIFS($A$6:$A$2005,A1620,$B$6:$B$2005,B1620)&gt;1,"DUPLICATE",""))</f>
        <v/>
      </c>
    </row>
    <row r="1621" spans="1:7">
      <c r="A1621" s="9"/>
      <c r="B1621" s="12"/>
      <c r="C1621" s="10"/>
      <c r="D1621" s="10"/>
      <c r="E1621" s="10"/>
      <c r="F1621" s="9"/>
      <c r="G1621" s="11">
        <f>IF(OR(A1621="",B1621=""),"",IF(COUNTIFS($A$6:$A$2005,A1621,$B$6:$B$2005,B1621)&gt;1,"DUPLICATE",""))</f>
        <v/>
      </c>
    </row>
    <row r="1622" spans="1:7">
      <c r="A1622" s="9"/>
      <c r="B1622" s="12"/>
      <c r="C1622" s="10"/>
      <c r="D1622" s="10"/>
      <c r="E1622" s="10"/>
      <c r="F1622" s="9"/>
      <c r="G1622" s="11">
        <f>IF(OR(A1622="",B1622=""),"",IF(COUNTIFS($A$6:$A$2005,A1622,$B$6:$B$2005,B1622)&gt;1,"DUPLICATE",""))</f>
        <v/>
      </c>
    </row>
    <row r="1623" spans="1:7">
      <c r="A1623" s="9"/>
      <c r="B1623" s="12"/>
      <c r="C1623" s="10"/>
      <c r="D1623" s="10"/>
      <c r="E1623" s="10"/>
      <c r="F1623" s="9"/>
      <c r="G1623" s="11">
        <f>IF(OR(A1623="",B1623=""),"",IF(COUNTIFS($A$6:$A$2005,A1623,$B$6:$B$2005,B1623)&gt;1,"DUPLICATE",""))</f>
        <v/>
      </c>
    </row>
    <row r="1624" spans="1:7">
      <c r="A1624" s="9"/>
      <c r="B1624" s="12"/>
      <c r="C1624" s="10"/>
      <c r="D1624" s="10"/>
      <c r="E1624" s="10"/>
      <c r="F1624" s="9"/>
      <c r="G1624" s="11">
        <f>IF(OR(A1624="",B1624=""),"",IF(COUNTIFS($A$6:$A$2005,A1624,$B$6:$B$2005,B1624)&gt;1,"DUPLICATE",""))</f>
        <v/>
      </c>
    </row>
    <row r="1625" spans="1:7">
      <c r="A1625" s="9"/>
      <c r="B1625" s="12"/>
      <c r="C1625" s="10"/>
      <c r="D1625" s="10"/>
      <c r="E1625" s="10"/>
      <c r="F1625" s="9"/>
      <c r="G1625" s="11">
        <f>IF(OR(A1625="",B1625=""),"",IF(COUNTIFS($A$6:$A$2005,A1625,$B$6:$B$2005,B1625)&gt;1,"DUPLICATE",""))</f>
        <v/>
      </c>
    </row>
    <row r="1626" spans="1:7">
      <c r="A1626" s="9"/>
      <c r="B1626" s="12"/>
      <c r="C1626" s="10"/>
      <c r="D1626" s="10"/>
      <c r="E1626" s="10"/>
      <c r="F1626" s="9"/>
      <c r="G1626" s="11">
        <f>IF(OR(A1626="",B1626=""),"",IF(COUNTIFS($A$6:$A$2005,A1626,$B$6:$B$2005,B1626)&gt;1,"DUPLICATE",""))</f>
        <v/>
      </c>
    </row>
    <row r="1627" spans="1:7">
      <c r="A1627" s="9"/>
      <c r="B1627" s="12"/>
      <c r="C1627" s="10"/>
      <c r="D1627" s="10"/>
      <c r="E1627" s="10"/>
      <c r="F1627" s="9"/>
      <c r="G1627" s="11">
        <f>IF(OR(A1627="",B1627=""),"",IF(COUNTIFS($A$6:$A$2005,A1627,$B$6:$B$2005,B1627)&gt;1,"DUPLICATE",""))</f>
        <v/>
      </c>
    </row>
    <row r="1628" spans="1:7">
      <c r="A1628" s="9"/>
      <c r="B1628" s="12"/>
      <c r="C1628" s="10"/>
      <c r="D1628" s="10"/>
      <c r="E1628" s="10"/>
      <c r="F1628" s="9"/>
      <c r="G1628" s="11">
        <f>IF(OR(A1628="",B1628=""),"",IF(COUNTIFS($A$6:$A$2005,A1628,$B$6:$B$2005,B1628)&gt;1,"DUPLICATE",""))</f>
        <v/>
      </c>
    </row>
    <row r="1629" spans="1:7">
      <c r="A1629" s="9"/>
      <c r="B1629" s="12"/>
      <c r="C1629" s="10"/>
      <c r="D1629" s="10"/>
      <c r="E1629" s="10"/>
      <c r="F1629" s="9"/>
      <c r="G1629" s="11">
        <f>IF(OR(A1629="",B1629=""),"",IF(COUNTIFS($A$6:$A$2005,A1629,$B$6:$B$2005,B1629)&gt;1,"DUPLICATE",""))</f>
        <v/>
      </c>
    </row>
    <row r="1630" spans="1:7">
      <c r="A1630" s="9"/>
      <c r="B1630" s="12"/>
      <c r="C1630" s="10"/>
      <c r="D1630" s="10"/>
      <c r="E1630" s="10"/>
      <c r="F1630" s="9"/>
      <c r="G1630" s="11">
        <f>IF(OR(A1630="",B1630=""),"",IF(COUNTIFS($A$6:$A$2005,A1630,$B$6:$B$2005,B1630)&gt;1,"DUPLICATE",""))</f>
        <v/>
      </c>
    </row>
    <row r="1631" spans="1:7">
      <c r="A1631" s="9"/>
      <c r="B1631" s="12"/>
      <c r="C1631" s="10"/>
      <c r="D1631" s="10"/>
      <c r="E1631" s="10"/>
      <c r="F1631" s="9"/>
      <c r="G1631" s="11">
        <f>IF(OR(A1631="",B1631=""),"",IF(COUNTIFS($A$6:$A$2005,A1631,$B$6:$B$2005,B1631)&gt;1,"DUPLICATE",""))</f>
        <v/>
      </c>
    </row>
    <row r="1632" spans="1:7">
      <c r="A1632" s="9"/>
      <c r="B1632" s="12"/>
      <c r="C1632" s="10"/>
      <c r="D1632" s="10"/>
      <c r="E1632" s="10"/>
      <c r="F1632" s="9"/>
      <c r="G1632" s="11">
        <f>IF(OR(A1632="",B1632=""),"",IF(COUNTIFS($A$6:$A$2005,A1632,$B$6:$B$2005,B1632)&gt;1,"DUPLICATE",""))</f>
        <v/>
      </c>
    </row>
    <row r="1633" spans="1:7">
      <c r="A1633" s="9"/>
      <c r="B1633" s="12"/>
      <c r="C1633" s="10"/>
      <c r="D1633" s="10"/>
      <c r="E1633" s="10"/>
      <c r="F1633" s="9"/>
      <c r="G1633" s="11">
        <f>IF(OR(A1633="",B1633=""),"",IF(COUNTIFS($A$6:$A$2005,A1633,$B$6:$B$2005,B1633)&gt;1,"DUPLICATE",""))</f>
        <v/>
      </c>
    </row>
    <row r="1634" spans="1:7">
      <c r="A1634" s="9"/>
      <c r="B1634" s="12"/>
      <c r="C1634" s="10"/>
      <c r="D1634" s="10"/>
      <c r="E1634" s="10"/>
      <c r="F1634" s="9"/>
      <c r="G1634" s="11">
        <f>IF(OR(A1634="",B1634=""),"",IF(COUNTIFS($A$6:$A$2005,A1634,$B$6:$B$2005,B1634)&gt;1,"DUPLICATE",""))</f>
        <v/>
      </c>
    </row>
    <row r="1635" spans="1:7">
      <c r="A1635" s="9"/>
      <c r="B1635" s="12"/>
      <c r="C1635" s="10"/>
      <c r="D1635" s="10"/>
      <c r="E1635" s="10"/>
      <c r="F1635" s="9"/>
      <c r="G1635" s="11">
        <f>IF(OR(A1635="",B1635=""),"",IF(COUNTIFS($A$6:$A$2005,A1635,$B$6:$B$2005,B1635)&gt;1,"DUPLICATE",""))</f>
        <v/>
      </c>
    </row>
    <row r="1636" spans="1:7">
      <c r="A1636" s="9"/>
      <c r="B1636" s="12"/>
      <c r="C1636" s="10"/>
      <c r="D1636" s="10"/>
      <c r="E1636" s="10"/>
      <c r="F1636" s="9"/>
      <c r="G1636" s="11">
        <f>IF(OR(A1636="",B1636=""),"",IF(COUNTIFS($A$6:$A$2005,A1636,$B$6:$B$2005,B1636)&gt;1,"DUPLICATE",""))</f>
        <v/>
      </c>
    </row>
    <row r="1637" spans="1:7">
      <c r="A1637" s="9"/>
      <c r="B1637" s="12"/>
      <c r="C1637" s="10"/>
      <c r="D1637" s="10"/>
      <c r="E1637" s="10"/>
      <c r="F1637" s="9"/>
      <c r="G1637" s="11">
        <f>IF(OR(A1637="",B1637=""),"",IF(COUNTIFS($A$6:$A$2005,A1637,$B$6:$B$2005,B1637)&gt;1,"DUPLICATE",""))</f>
        <v/>
      </c>
    </row>
    <row r="1638" spans="1:7">
      <c r="A1638" s="9"/>
      <c r="B1638" s="12"/>
      <c r="C1638" s="10"/>
      <c r="D1638" s="10"/>
      <c r="E1638" s="10"/>
      <c r="F1638" s="9"/>
      <c r="G1638" s="11">
        <f>IF(OR(A1638="",B1638=""),"",IF(COUNTIFS($A$6:$A$2005,A1638,$B$6:$B$2005,B1638)&gt;1,"DUPLICATE",""))</f>
        <v/>
      </c>
    </row>
    <row r="1639" spans="1:7">
      <c r="A1639" s="9"/>
      <c r="B1639" s="12"/>
      <c r="C1639" s="10"/>
      <c r="D1639" s="10"/>
      <c r="E1639" s="10"/>
      <c r="F1639" s="9"/>
      <c r="G1639" s="11">
        <f>IF(OR(A1639="",B1639=""),"",IF(COUNTIFS($A$6:$A$2005,A1639,$B$6:$B$2005,B1639)&gt;1,"DUPLICATE",""))</f>
        <v/>
      </c>
    </row>
    <row r="1640" spans="1:7">
      <c r="A1640" s="9"/>
      <c r="B1640" s="12"/>
      <c r="C1640" s="10"/>
      <c r="D1640" s="10"/>
      <c r="E1640" s="10"/>
      <c r="F1640" s="9"/>
      <c r="G1640" s="11">
        <f>IF(OR(A1640="",B1640=""),"",IF(COUNTIFS($A$6:$A$2005,A1640,$B$6:$B$2005,B1640)&gt;1,"DUPLICATE",""))</f>
        <v/>
      </c>
    </row>
    <row r="1641" spans="1:7">
      <c r="A1641" s="9"/>
      <c r="B1641" s="12"/>
      <c r="C1641" s="10"/>
      <c r="D1641" s="10"/>
      <c r="E1641" s="10"/>
      <c r="F1641" s="9"/>
      <c r="G1641" s="11">
        <f>IF(OR(A1641="",B1641=""),"",IF(COUNTIFS($A$6:$A$2005,A1641,$B$6:$B$2005,B1641)&gt;1,"DUPLICATE",""))</f>
        <v/>
      </c>
    </row>
    <row r="1642" spans="1:7">
      <c r="A1642" s="9"/>
      <c r="B1642" s="12"/>
      <c r="C1642" s="10"/>
      <c r="D1642" s="10"/>
      <c r="E1642" s="10"/>
      <c r="F1642" s="9"/>
      <c r="G1642" s="11">
        <f>IF(OR(A1642="",B1642=""),"",IF(COUNTIFS($A$6:$A$2005,A1642,$B$6:$B$2005,B1642)&gt;1,"DUPLICATE",""))</f>
        <v/>
      </c>
    </row>
    <row r="1643" spans="1:7">
      <c r="A1643" s="9"/>
      <c r="B1643" s="12"/>
      <c r="C1643" s="10"/>
      <c r="D1643" s="10"/>
      <c r="E1643" s="10"/>
      <c r="F1643" s="9"/>
      <c r="G1643" s="11">
        <f>IF(OR(A1643="",B1643=""),"",IF(COUNTIFS($A$6:$A$2005,A1643,$B$6:$B$2005,B1643)&gt;1,"DUPLICATE",""))</f>
        <v/>
      </c>
    </row>
    <row r="1644" spans="1:7">
      <c r="A1644" s="9"/>
      <c r="B1644" s="12"/>
      <c r="C1644" s="10"/>
      <c r="D1644" s="10"/>
      <c r="E1644" s="10"/>
      <c r="F1644" s="9"/>
      <c r="G1644" s="11">
        <f>IF(OR(A1644="",B1644=""),"",IF(COUNTIFS($A$6:$A$2005,A1644,$B$6:$B$2005,B1644)&gt;1,"DUPLICATE",""))</f>
        <v/>
      </c>
    </row>
    <row r="1645" spans="1:7">
      <c r="A1645" s="9"/>
      <c r="B1645" s="12"/>
      <c r="C1645" s="10"/>
      <c r="D1645" s="10"/>
      <c r="E1645" s="10"/>
      <c r="F1645" s="9"/>
      <c r="G1645" s="11">
        <f>IF(OR(A1645="",B1645=""),"",IF(COUNTIFS($A$6:$A$2005,A1645,$B$6:$B$2005,B1645)&gt;1,"DUPLICATE",""))</f>
        <v/>
      </c>
    </row>
    <row r="1646" spans="1:7">
      <c r="A1646" s="9"/>
      <c r="B1646" s="12"/>
      <c r="C1646" s="10"/>
      <c r="D1646" s="10"/>
      <c r="E1646" s="10"/>
      <c r="F1646" s="9"/>
      <c r="G1646" s="11">
        <f>IF(OR(A1646="",B1646=""),"",IF(COUNTIFS($A$6:$A$2005,A1646,$B$6:$B$2005,B1646)&gt;1,"DUPLICATE",""))</f>
        <v/>
      </c>
    </row>
    <row r="1647" spans="1:7">
      <c r="A1647" s="9"/>
      <c r="B1647" s="12"/>
      <c r="C1647" s="10"/>
      <c r="D1647" s="10"/>
      <c r="E1647" s="10"/>
      <c r="F1647" s="9"/>
      <c r="G1647" s="11">
        <f>IF(OR(A1647="",B1647=""),"",IF(COUNTIFS($A$6:$A$2005,A1647,$B$6:$B$2005,B1647)&gt;1,"DUPLICATE",""))</f>
        <v/>
      </c>
    </row>
    <row r="1648" spans="1:7">
      <c r="A1648" s="9"/>
      <c r="B1648" s="12"/>
      <c r="C1648" s="10"/>
      <c r="D1648" s="10"/>
      <c r="E1648" s="10"/>
      <c r="F1648" s="9"/>
      <c r="G1648" s="11">
        <f>IF(OR(A1648="",B1648=""),"",IF(COUNTIFS($A$6:$A$2005,A1648,$B$6:$B$2005,B1648)&gt;1,"DUPLICATE",""))</f>
        <v/>
      </c>
    </row>
    <row r="1649" spans="1:7">
      <c r="A1649" s="9"/>
      <c r="B1649" s="12"/>
      <c r="C1649" s="10"/>
      <c r="D1649" s="10"/>
      <c r="E1649" s="10"/>
      <c r="F1649" s="9"/>
      <c r="G1649" s="11">
        <f>IF(OR(A1649="",B1649=""),"",IF(COUNTIFS($A$6:$A$2005,A1649,$B$6:$B$2005,B1649)&gt;1,"DUPLICATE",""))</f>
        <v/>
      </c>
    </row>
    <row r="1650" spans="1:7">
      <c r="A1650" s="9"/>
      <c r="B1650" s="12"/>
      <c r="C1650" s="10"/>
      <c r="D1650" s="10"/>
      <c r="E1650" s="10"/>
      <c r="F1650" s="9"/>
      <c r="G1650" s="11">
        <f>IF(OR(A1650="",B1650=""),"",IF(COUNTIFS($A$6:$A$2005,A1650,$B$6:$B$2005,B1650)&gt;1,"DUPLICATE",""))</f>
        <v/>
      </c>
    </row>
    <row r="1651" spans="1:7">
      <c r="A1651" s="9"/>
      <c r="B1651" s="12"/>
      <c r="C1651" s="10"/>
      <c r="D1651" s="10"/>
      <c r="E1651" s="10"/>
      <c r="F1651" s="9"/>
      <c r="G1651" s="11">
        <f>IF(OR(A1651="",B1651=""),"",IF(COUNTIFS($A$6:$A$2005,A1651,$B$6:$B$2005,B1651)&gt;1,"DUPLICATE",""))</f>
        <v/>
      </c>
    </row>
    <row r="1652" spans="1:7">
      <c r="A1652" s="9"/>
      <c r="B1652" s="12"/>
      <c r="C1652" s="10"/>
      <c r="D1652" s="10"/>
      <c r="E1652" s="10"/>
      <c r="F1652" s="9"/>
      <c r="G1652" s="11">
        <f>IF(OR(A1652="",B1652=""),"",IF(COUNTIFS($A$6:$A$2005,A1652,$B$6:$B$2005,B1652)&gt;1,"DUPLICATE",""))</f>
        <v/>
      </c>
    </row>
    <row r="1653" spans="1:7">
      <c r="A1653" s="9"/>
      <c r="B1653" s="12"/>
      <c r="C1653" s="10"/>
      <c r="D1653" s="10"/>
      <c r="E1653" s="10"/>
      <c r="F1653" s="9"/>
      <c r="G1653" s="11">
        <f>IF(OR(A1653="",B1653=""),"",IF(COUNTIFS($A$6:$A$2005,A1653,$B$6:$B$2005,B1653)&gt;1,"DUPLICATE",""))</f>
        <v/>
      </c>
    </row>
    <row r="1654" spans="1:7">
      <c r="A1654" s="9"/>
      <c r="B1654" s="12"/>
      <c r="C1654" s="10"/>
      <c r="D1654" s="10"/>
      <c r="E1654" s="10"/>
      <c r="F1654" s="9"/>
      <c r="G1654" s="11">
        <f>IF(OR(A1654="",B1654=""),"",IF(COUNTIFS($A$6:$A$2005,A1654,$B$6:$B$2005,B1654)&gt;1,"DUPLICATE",""))</f>
        <v/>
      </c>
    </row>
    <row r="1655" spans="1:7">
      <c r="A1655" s="9"/>
      <c r="B1655" s="12"/>
      <c r="C1655" s="10"/>
      <c r="D1655" s="10"/>
      <c r="E1655" s="10"/>
      <c r="F1655" s="9"/>
      <c r="G1655" s="11">
        <f>IF(OR(A1655="",B1655=""),"",IF(COUNTIFS($A$6:$A$2005,A1655,$B$6:$B$2005,B1655)&gt;1,"DUPLICATE",""))</f>
        <v/>
      </c>
    </row>
    <row r="1656" spans="1:7">
      <c r="A1656" s="9"/>
      <c r="B1656" s="12"/>
      <c r="C1656" s="10"/>
      <c r="D1656" s="10"/>
      <c r="E1656" s="10"/>
      <c r="F1656" s="9"/>
      <c r="G1656" s="11">
        <f>IF(OR(A1656="",B1656=""),"",IF(COUNTIFS($A$6:$A$2005,A1656,$B$6:$B$2005,B1656)&gt;1,"DUPLICATE",""))</f>
        <v/>
      </c>
    </row>
    <row r="1657" spans="1:7">
      <c r="A1657" s="9"/>
      <c r="B1657" s="12"/>
      <c r="C1657" s="10"/>
      <c r="D1657" s="10"/>
      <c r="E1657" s="10"/>
      <c r="F1657" s="9"/>
      <c r="G1657" s="11">
        <f>IF(OR(A1657="",B1657=""),"",IF(COUNTIFS($A$6:$A$2005,A1657,$B$6:$B$2005,B1657)&gt;1,"DUPLICATE",""))</f>
        <v/>
      </c>
    </row>
    <row r="1658" spans="1:7">
      <c r="A1658" s="9"/>
      <c r="B1658" s="12"/>
      <c r="C1658" s="10"/>
      <c r="D1658" s="10"/>
      <c r="E1658" s="10"/>
      <c r="F1658" s="9"/>
      <c r="G1658" s="11">
        <f>IF(OR(A1658="",B1658=""),"",IF(COUNTIFS($A$6:$A$2005,A1658,$B$6:$B$2005,B1658)&gt;1,"DUPLICATE",""))</f>
        <v/>
      </c>
    </row>
    <row r="1659" spans="1:7">
      <c r="A1659" s="9"/>
      <c r="B1659" s="12"/>
      <c r="C1659" s="10"/>
      <c r="D1659" s="10"/>
      <c r="E1659" s="10"/>
      <c r="F1659" s="9"/>
      <c r="G1659" s="11">
        <f>IF(OR(A1659="",B1659=""),"",IF(COUNTIFS($A$6:$A$2005,A1659,$B$6:$B$2005,B1659)&gt;1,"DUPLICATE",""))</f>
        <v/>
      </c>
    </row>
    <row r="1660" spans="1:7">
      <c r="A1660" s="9"/>
      <c r="B1660" s="12"/>
      <c r="C1660" s="10"/>
      <c r="D1660" s="10"/>
      <c r="E1660" s="10"/>
      <c r="F1660" s="9"/>
      <c r="G1660" s="11">
        <f>IF(OR(A1660="",B1660=""),"",IF(COUNTIFS($A$6:$A$2005,A1660,$B$6:$B$2005,B1660)&gt;1,"DUPLICATE",""))</f>
        <v/>
      </c>
    </row>
    <row r="1661" spans="1:7">
      <c r="A1661" s="9"/>
      <c r="B1661" s="12"/>
      <c r="C1661" s="10"/>
      <c r="D1661" s="10"/>
      <c r="E1661" s="10"/>
      <c r="F1661" s="9"/>
      <c r="G1661" s="11">
        <f>IF(OR(A1661="",B1661=""),"",IF(COUNTIFS($A$6:$A$2005,A1661,$B$6:$B$2005,B1661)&gt;1,"DUPLICATE",""))</f>
        <v/>
      </c>
    </row>
    <row r="1662" spans="1:7">
      <c r="A1662" s="9"/>
      <c r="B1662" s="12"/>
      <c r="C1662" s="10"/>
      <c r="D1662" s="10"/>
      <c r="E1662" s="10"/>
      <c r="F1662" s="9"/>
      <c r="G1662" s="11">
        <f>IF(OR(A1662="",B1662=""),"",IF(COUNTIFS($A$6:$A$2005,A1662,$B$6:$B$2005,B1662)&gt;1,"DUPLICATE",""))</f>
        <v/>
      </c>
    </row>
    <row r="1663" spans="1:7">
      <c r="A1663" s="9"/>
      <c r="B1663" s="12"/>
      <c r="C1663" s="10"/>
      <c r="D1663" s="10"/>
      <c r="E1663" s="10"/>
      <c r="F1663" s="9"/>
      <c r="G1663" s="11">
        <f>IF(OR(A1663="",B1663=""),"",IF(COUNTIFS($A$6:$A$2005,A1663,$B$6:$B$2005,B1663)&gt;1,"DUPLICATE",""))</f>
        <v/>
      </c>
    </row>
    <row r="1664" spans="1:7">
      <c r="A1664" s="9"/>
      <c r="B1664" s="12"/>
      <c r="C1664" s="10"/>
      <c r="D1664" s="10"/>
      <c r="E1664" s="10"/>
      <c r="F1664" s="9"/>
      <c r="G1664" s="11">
        <f>IF(OR(A1664="",B1664=""),"",IF(COUNTIFS($A$6:$A$2005,A1664,$B$6:$B$2005,B1664)&gt;1,"DUPLICATE",""))</f>
        <v/>
      </c>
    </row>
    <row r="1665" spans="1:7">
      <c r="A1665" s="9"/>
      <c r="B1665" s="12"/>
      <c r="C1665" s="10"/>
      <c r="D1665" s="10"/>
      <c r="E1665" s="10"/>
      <c r="F1665" s="9"/>
      <c r="G1665" s="11">
        <f>IF(OR(A1665="",B1665=""),"",IF(COUNTIFS($A$6:$A$2005,A1665,$B$6:$B$2005,B1665)&gt;1,"DUPLICATE",""))</f>
        <v/>
      </c>
    </row>
    <row r="1666" spans="1:7">
      <c r="A1666" s="9"/>
      <c r="B1666" s="12"/>
      <c r="C1666" s="10"/>
      <c r="D1666" s="10"/>
      <c r="E1666" s="10"/>
      <c r="F1666" s="9"/>
      <c r="G1666" s="11">
        <f>IF(OR(A1666="",B1666=""),"",IF(COUNTIFS($A$6:$A$2005,A1666,$B$6:$B$2005,B1666)&gt;1,"DUPLICATE",""))</f>
        <v/>
      </c>
    </row>
    <row r="1667" spans="1:7">
      <c r="A1667" s="9"/>
      <c r="B1667" s="12"/>
      <c r="C1667" s="10"/>
      <c r="D1667" s="10"/>
      <c r="E1667" s="10"/>
      <c r="F1667" s="9"/>
      <c r="G1667" s="11">
        <f>IF(OR(A1667="",B1667=""),"",IF(COUNTIFS($A$6:$A$2005,A1667,$B$6:$B$2005,B1667)&gt;1,"DUPLICATE",""))</f>
        <v/>
      </c>
    </row>
    <row r="1668" spans="1:7">
      <c r="A1668" s="9"/>
      <c r="B1668" s="12"/>
      <c r="C1668" s="10"/>
      <c r="D1668" s="10"/>
      <c r="E1668" s="10"/>
      <c r="F1668" s="9"/>
      <c r="G1668" s="11">
        <f>IF(OR(A1668="",B1668=""),"",IF(COUNTIFS($A$6:$A$2005,A1668,$B$6:$B$2005,B1668)&gt;1,"DUPLICATE",""))</f>
        <v/>
      </c>
    </row>
    <row r="1669" spans="1:7">
      <c r="A1669" s="9"/>
      <c r="B1669" s="12"/>
      <c r="C1669" s="10"/>
      <c r="D1669" s="10"/>
      <c r="E1669" s="10"/>
      <c r="F1669" s="9"/>
      <c r="G1669" s="11">
        <f>IF(OR(A1669="",B1669=""),"",IF(COUNTIFS($A$6:$A$2005,A1669,$B$6:$B$2005,B1669)&gt;1,"DUPLICATE",""))</f>
        <v/>
      </c>
    </row>
    <row r="1670" spans="1:7">
      <c r="A1670" s="9"/>
      <c r="B1670" s="12"/>
      <c r="C1670" s="10"/>
      <c r="D1670" s="10"/>
      <c r="E1670" s="10"/>
      <c r="F1670" s="9"/>
      <c r="G1670" s="11">
        <f>IF(OR(A1670="",B1670=""),"",IF(COUNTIFS($A$6:$A$2005,A1670,$B$6:$B$2005,B1670)&gt;1,"DUPLICATE",""))</f>
        <v/>
      </c>
    </row>
    <row r="1671" spans="1:7">
      <c r="A1671" s="9"/>
      <c r="B1671" s="12"/>
      <c r="C1671" s="10"/>
      <c r="D1671" s="10"/>
      <c r="E1671" s="10"/>
      <c r="F1671" s="9"/>
      <c r="G1671" s="11">
        <f>IF(OR(A1671="",B1671=""),"",IF(COUNTIFS($A$6:$A$2005,A1671,$B$6:$B$2005,B1671)&gt;1,"DUPLICATE",""))</f>
        <v/>
      </c>
    </row>
    <row r="1672" spans="1:7">
      <c r="A1672" s="9"/>
      <c r="B1672" s="12"/>
      <c r="C1672" s="10"/>
      <c r="D1672" s="10"/>
      <c r="E1672" s="10"/>
      <c r="F1672" s="9"/>
      <c r="G1672" s="11">
        <f>IF(OR(A1672="",B1672=""),"",IF(COUNTIFS($A$6:$A$2005,A1672,$B$6:$B$2005,B1672)&gt;1,"DUPLICATE",""))</f>
        <v/>
      </c>
    </row>
    <row r="1673" spans="1:7">
      <c r="A1673" s="9"/>
      <c r="B1673" s="12"/>
      <c r="C1673" s="10"/>
      <c r="D1673" s="10"/>
      <c r="E1673" s="10"/>
      <c r="F1673" s="9"/>
      <c r="G1673" s="11">
        <f>IF(OR(A1673="",B1673=""),"",IF(COUNTIFS($A$6:$A$2005,A1673,$B$6:$B$2005,B1673)&gt;1,"DUPLICATE",""))</f>
        <v/>
      </c>
    </row>
    <row r="1674" spans="1:7">
      <c r="A1674" s="9"/>
      <c r="B1674" s="12"/>
      <c r="C1674" s="10"/>
      <c r="D1674" s="10"/>
      <c r="E1674" s="10"/>
      <c r="F1674" s="9"/>
      <c r="G1674" s="11">
        <f>IF(OR(A1674="",B1674=""),"",IF(COUNTIFS($A$6:$A$2005,A1674,$B$6:$B$2005,B1674)&gt;1,"DUPLICATE",""))</f>
        <v/>
      </c>
    </row>
    <row r="1675" spans="1:7">
      <c r="A1675" s="9"/>
      <c r="B1675" s="12"/>
      <c r="C1675" s="10"/>
      <c r="D1675" s="10"/>
      <c r="E1675" s="10"/>
      <c r="F1675" s="9"/>
      <c r="G1675" s="11">
        <f>IF(OR(A1675="",B1675=""),"",IF(COUNTIFS($A$6:$A$2005,A1675,$B$6:$B$2005,B1675)&gt;1,"DUPLICATE",""))</f>
        <v/>
      </c>
    </row>
    <row r="1676" spans="1:7">
      <c r="A1676" s="9"/>
      <c r="B1676" s="12"/>
      <c r="C1676" s="10"/>
      <c r="D1676" s="10"/>
      <c r="E1676" s="10"/>
      <c r="F1676" s="9"/>
      <c r="G1676" s="11">
        <f>IF(OR(A1676="",B1676=""),"",IF(COUNTIFS($A$6:$A$2005,A1676,$B$6:$B$2005,B1676)&gt;1,"DUPLICATE",""))</f>
        <v/>
      </c>
    </row>
    <row r="1677" spans="1:7">
      <c r="A1677" s="9"/>
      <c r="B1677" s="12"/>
      <c r="C1677" s="10"/>
      <c r="D1677" s="10"/>
      <c r="E1677" s="10"/>
      <c r="F1677" s="9"/>
      <c r="G1677" s="11">
        <f>IF(OR(A1677="",B1677=""),"",IF(COUNTIFS($A$6:$A$2005,A1677,$B$6:$B$2005,B1677)&gt;1,"DUPLICATE",""))</f>
        <v/>
      </c>
    </row>
    <row r="1678" spans="1:7">
      <c r="A1678" s="9"/>
      <c r="B1678" s="12"/>
      <c r="C1678" s="10"/>
      <c r="D1678" s="10"/>
      <c r="E1678" s="10"/>
      <c r="F1678" s="9"/>
      <c r="G1678" s="11">
        <f>IF(OR(A1678="",B1678=""),"",IF(COUNTIFS($A$6:$A$2005,A1678,$B$6:$B$2005,B1678)&gt;1,"DUPLICATE",""))</f>
        <v/>
      </c>
    </row>
    <row r="1679" spans="1:7">
      <c r="A1679" s="9"/>
      <c r="B1679" s="12"/>
      <c r="C1679" s="10"/>
      <c r="D1679" s="10"/>
      <c r="E1679" s="10"/>
      <c r="F1679" s="9"/>
      <c r="G1679" s="11">
        <f>IF(OR(A1679="",B1679=""),"",IF(COUNTIFS($A$6:$A$2005,A1679,$B$6:$B$2005,B1679)&gt;1,"DUPLICATE",""))</f>
        <v/>
      </c>
    </row>
    <row r="1680" spans="1:7">
      <c r="A1680" s="9"/>
      <c r="B1680" s="12"/>
      <c r="C1680" s="10"/>
      <c r="D1680" s="10"/>
      <c r="E1680" s="10"/>
      <c r="F1680" s="9"/>
      <c r="G1680" s="11">
        <f>IF(OR(A1680="",B1680=""),"",IF(COUNTIFS($A$6:$A$2005,A1680,$B$6:$B$2005,B1680)&gt;1,"DUPLICATE",""))</f>
        <v/>
      </c>
    </row>
    <row r="1681" spans="1:7">
      <c r="A1681" s="9"/>
      <c r="B1681" s="12"/>
      <c r="C1681" s="10"/>
      <c r="D1681" s="10"/>
      <c r="E1681" s="10"/>
      <c r="F1681" s="9"/>
      <c r="G1681" s="11">
        <f>IF(OR(A1681="",B1681=""),"",IF(COUNTIFS($A$6:$A$2005,A1681,$B$6:$B$2005,B1681)&gt;1,"DUPLICATE",""))</f>
        <v/>
      </c>
    </row>
    <row r="1682" spans="1:7">
      <c r="A1682" s="9"/>
      <c r="B1682" s="12"/>
      <c r="C1682" s="10"/>
      <c r="D1682" s="10"/>
      <c r="E1682" s="10"/>
      <c r="F1682" s="9"/>
      <c r="G1682" s="11">
        <f>IF(OR(A1682="",B1682=""),"",IF(COUNTIFS($A$6:$A$2005,A1682,$B$6:$B$2005,B1682)&gt;1,"DUPLICATE",""))</f>
        <v/>
      </c>
    </row>
    <row r="1683" spans="1:7">
      <c r="A1683" s="9"/>
      <c r="B1683" s="12"/>
      <c r="C1683" s="10"/>
      <c r="D1683" s="10"/>
      <c r="E1683" s="10"/>
      <c r="F1683" s="9"/>
      <c r="G1683" s="11">
        <f>IF(OR(A1683="",B1683=""),"",IF(COUNTIFS($A$6:$A$2005,A1683,$B$6:$B$2005,B1683)&gt;1,"DUPLICATE",""))</f>
        <v/>
      </c>
    </row>
    <row r="1684" spans="1:7">
      <c r="A1684" s="9"/>
      <c r="B1684" s="12"/>
      <c r="C1684" s="10"/>
      <c r="D1684" s="10"/>
      <c r="E1684" s="10"/>
      <c r="F1684" s="9"/>
      <c r="G1684" s="11">
        <f>IF(OR(A1684="",B1684=""),"",IF(COUNTIFS($A$6:$A$2005,A1684,$B$6:$B$2005,B1684)&gt;1,"DUPLICATE",""))</f>
        <v/>
      </c>
    </row>
    <row r="1685" spans="1:7">
      <c r="A1685" s="9"/>
      <c r="B1685" s="12"/>
      <c r="C1685" s="10"/>
      <c r="D1685" s="10"/>
      <c r="E1685" s="10"/>
      <c r="F1685" s="9"/>
      <c r="G1685" s="11">
        <f>IF(OR(A1685="",B1685=""),"",IF(COUNTIFS($A$6:$A$2005,A1685,$B$6:$B$2005,B1685)&gt;1,"DUPLICATE",""))</f>
        <v/>
      </c>
    </row>
    <row r="1686" spans="1:7">
      <c r="A1686" s="9"/>
      <c r="B1686" s="12"/>
      <c r="C1686" s="10"/>
      <c r="D1686" s="10"/>
      <c r="E1686" s="10"/>
      <c r="F1686" s="9"/>
      <c r="G1686" s="11">
        <f>IF(OR(A1686="",B1686=""),"",IF(COUNTIFS($A$6:$A$2005,A1686,$B$6:$B$2005,B1686)&gt;1,"DUPLICATE",""))</f>
        <v/>
      </c>
    </row>
    <row r="1687" spans="1:7">
      <c r="A1687" s="9"/>
      <c r="B1687" s="12"/>
      <c r="C1687" s="10"/>
      <c r="D1687" s="10"/>
      <c r="E1687" s="10"/>
      <c r="F1687" s="9"/>
      <c r="G1687" s="11">
        <f>IF(OR(A1687="",B1687=""),"",IF(COUNTIFS($A$6:$A$2005,A1687,$B$6:$B$2005,B1687)&gt;1,"DUPLICATE",""))</f>
        <v/>
      </c>
    </row>
    <row r="1688" spans="1:7">
      <c r="A1688" s="9"/>
      <c r="B1688" s="12"/>
      <c r="C1688" s="10"/>
      <c r="D1688" s="10"/>
      <c r="E1688" s="10"/>
      <c r="F1688" s="9"/>
      <c r="G1688" s="11">
        <f>IF(OR(A1688="",B1688=""),"",IF(COUNTIFS($A$6:$A$2005,A1688,$B$6:$B$2005,B1688)&gt;1,"DUPLICATE",""))</f>
        <v/>
      </c>
    </row>
    <row r="1689" spans="1:7">
      <c r="A1689" s="9"/>
      <c r="B1689" s="12"/>
      <c r="C1689" s="10"/>
      <c r="D1689" s="10"/>
      <c r="E1689" s="10"/>
      <c r="F1689" s="9"/>
      <c r="G1689" s="11">
        <f>IF(OR(A1689="",B1689=""),"",IF(COUNTIFS($A$6:$A$2005,A1689,$B$6:$B$2005,B1689)&gt;1,"DUPLICATE",""))</f>
        <v/>
      </c>
    </row>
    <row r="1690" spans="1:7">
      <c r="A1690" s="9"/>
      <c r="B1690" s="12"/>
      <c r="C1690" s="10"/>
      <c r="D1690" s="10"/>
      <c r="E1690" s="10"/>
      <c r="F1690" s="9"/>
      <c r="G1690" s="11">
        <f>IF(OR(A1690="",B1690=""),"",IF(COUNTIFS($A$6:$A$2005,A1690,$B$6:$B$2005,B1690)&gt;1,"DUPLICATE",""))</f>
        <v/>
      </c>
    </row>
    <row r="1691" spans="1:7">
      <c r="A1691" s="9"/>
      <c r="B1691" s="12"/>
      <c r="C1691" s="10"/>
      <c r="D1691" s="10"/>
      <c r="E1691" s="10"/>
      <c r="F1691" s="9"/>
      <c r="G1691" s="11">
        <f>IF(OR(A1691="",B1691=""),"",IF(COUNTIFS($A$6:$A$2005,A1691,$B$6:$B$2005,B1691)&gt;1,"DUPLICATE",""))</f>
        <v/>
      </c>
    </row>
    <row r="1692" spans="1:7">
      <c r="A1692" s="9"/>
      <c r="B1692" s="12"/>
      <c r="C1692" s="10"/>
      <c r="D1692" s="10"/>
      <c r="E1692" s="10"/>
      <c r="F1692" s="9"/>
      <c r="G1692" s="11">
        <f>IF(OR(A1692="",B1692=""),"",IF(COUNTIFS($A$6:$A$2005,A1692,$B$6:$B$2005,B1692)&gt;1,"DUPLICATE",""))</f>
        <v/>
      </c>
    </row>
    <row r="1693" spans="1:7">
      <c r="A1693" s="9"/>
      <c r="B1693" s="12"/>
      <c r="C1693" s="10"/>
      <c r="D1693" s="10"/>
      <c r="E1693" s="10"/>
      <c r="F1693" s="9"/>
      <c r="G1693" s="11">
        <f>IF(OR(A1693="",B1693=""),"",IF(COUNTIFS($A$6:$A$2005,A1693,$B$6:$B$2005,B1693)&gt;1,"DUPLICATE",""))</f>
        <v/>
      </c>
    </row>
    <row r="1694" spans="1:7">
      <c r="A1694" s="9"/>
      <c r="B1694" s="12"/>
      <c r="C1694" s="10"/>
      <c r="D1694" s="10"/>
      <c r="E1694" s="10"/>
      <c r="F1694" s="9"/>
      <c r="G1694" s="11">
        <f>IF(OR(A1694="",B1694=""),"",IF(COUNTIFS($A$6:$A$2005,A1694,$B$6:$B$2005,B1694)&gt;1,"DUPLICATE",""))</f>
        <v/>
      </c>
    </row>
    <row r="1695" spans="1:7">
      <c r="A1695" s="9"/>
      <c r="B1695" s="12"/>
      <c r="C1695" s="10"/>
      <c r="D1695" s="10"/>
      <c r="E1695" s="10"/>
      <c r="F1695" s="9"/>
      <c r="G1695" s="11">
        <f>IF(OR(A1695="",B1695=""),"",IF(COUNTIFS($A$6:$A$2005,A1695,$B$6:$B$2005,B1695)&gt;1,"DUPLICATE",""))</f>
        <v/>
      </c>
    </row>
    <row r="1696" spans="1:7">
      <c r="A1696" s="9"/>
      <c r="B1696" s="12"/>
      <c r="C1696" s="10"/>
      <c r="D1696" s="10"/>
      <c r="E1696" s="10"/>
      <c r="F1696" s="9"/>
      <c r="G1696" s="11">
        <f>IF(OR(A1696="",B1696=""),"",IF(COUNTIFS($A$6:$A$2005,A1696,$B$6:$B$2005,B1696)&gt;1,"DUPLICATE",""))</f>
        <v/>
      </c>
    </row>
    <row r="1697" spans="1:7">
      <c r="A1697" s="9"/>
      <c r="B1697" s="12"/>
      <c r="C1697" s="10"/>
      <c r="D1697" s="10"/>
      <c r="E1697" s="10"/>
      <c r="F1697" s="9"/>
      <c r="G1697" s="11">
        <f>IF(OR(A1697="",B1697=""),"",IF(COUNTIFS($A$6:$A$2005,A1697,$B$6:$B$2005,B1697)&gt;1,"DUPLICATE",""))</f>
        <v/>
      </c>
    </row>
    <row r="1698" spans="1:7">
      <c r="A1698" s="9"/>
      <c r="B1698" s="12"/>
      <c r="C1698" s="10"/>
      <c r="D1698" s="10"/>
      <c r="E1698" s="10"/>
      <c r="F1698" s="9"/>
      <c r="G1698" s="11">
        <f>IF(OR(A1698="",B1698=""),"",IF(COUNTIFS($A$6:$A$2005,A1698,$B$6:$B$2005,B1698)&gt;1,"DUPLICATE",""))</f>
        <v/>
      </c>
    </row>
    <row r="1699" spans="1:7">
      <c r="A1699" s="9"/>
      <c r="B1699" s="12"/>
      <c r="C1699" s="10"/>
      <c r="D1699" s="10"/>
      <c r="E1699" s="10"/>
      <c r="F1699" s="9"/>
      <c r="G1699" s="11">
        <f>IF(OR(A1699="",B1699=""),"",IF(COUNTIFS($A$6:$A$2005,A1699,$B$6:$B$2005,B1699)&gt;1,"DUPLICATE",""))</f>
        <v/>
      </c>
    </row>
    <row r="1700" spans="1:7">
      <c r="A1700" s="9"/>
      <c r="B1700" s="12"/>
      <c r="C1700" s="10"/>
      <c r="D1700" s="10"/>
      <c r="E1700" s="10"/>
      <c r="F1700" s="9"/>
      <c r="G1700" s="11">
        <f>IF(OR(A1700="",B1700=""),"",IF(COUNTIFS($A$6:$A$2005,A1700,$B$6:$B$2005,B1700)&gt;1,"DUPLICATE",""))</f>
        <v/>
      </c>
    </row>
    <row r="1701" spans="1:7">
      <c r="A1701" s="9"/>
      <c r="B1701" s="12"/>
      <c r="C1701" s="10"/>
      <c r="D1701" s="10"/>
      <c r="E1701" s="10"/>
      <c r="F1701" s="9"/>
      <c r="G1701" s="11">
        <f>IF(OR(A1701="",B1701=""),"",IF(COUNTIFS($A$6:$A$2005,A1701,$B$6:$B$2005,B1701)&gt;1,"DUPLICATE",""))</f>
        <v/>
      </c>
    </row>
    <row r="1702" spans="1:7">
      <c r="A1702" s="9"/>
      <c r="B1702" s="12"/>
      <c r="C1702" s="10"/>
      <c r="D1702" s="10"/>
      <c r="E1702" s="10"/>
      <c r="F1702" s="9"/>
      <c r="G1702" s="11">
        <f>IF(OR(A1702="",B1702=""),"",IF(COUNTIFS($A$6:$A$2005,A1702,$B$6:$B$2005,B1702)&gt;1,"DUPLICATE",""))</f>
        <v/>
      </c>
    </row>
    <row r="1703" spans="1:7">
      <c r="A1703" s="9"/>
      <c r="B1703" s="12"/>
      <c r="C1703" s="10"/>
      <c r="D1703" s="10"/>
      <c r="E1703" s="10"/>
      <c r="F1703" s="9"/>
      <c r="G1703" s="11">
        <f>IF(OR(A1703="",B1703=""),"",IF(COUNTIFS($A$6:$A$2005,A1703,$B$6:$B$2005,B1703)&gt;1,"DUPLICATE",""))</f>
        <v/>
      </c>
    </row>
    <row r="1704" spans="1:7">
      <c r="A1704" s="9"/>
      <c r="B1704" s="12"/>
      <c r="C1704" s="10"/>
      <c r="D1704" s="10"/>
      <c r="E1704" s="10"/>
      <c r="F1704" s="9"/>
      <c r="G1704" s="11">
        <f>IF(OR(A1704="",B1704=""),"",IF(COUNTIFS($A$6:$A$2005,A1704,$B$6:$B$2005,B1704)&gt;1,"DUPLICATE",""))</f>
        <v/>
      </c>
    </row>
    <row r="1705" spans="1:7">
      <c r="A1705" s="9"/>
      <c r="B1705" s="12"/>
      <c r="C1705" s="10"/>
      <c r="D1705" s="10"/>
      <c r="E1705" s="10"/>
      <c r="F1705" s="9"/>
      <c r="G1705" s="11">
        <f>IF(OR(A1705="",B1705=""),"",IF(COUNTIFS($A$6:$A$2005,A1705,$B$6:$B$2005,B1705)&gt;1,"DUPLICATE",""))</f>
        <v/>
      </c>
    </row>
    <row r="1706" spans="1:7">
      <c r="A1706" s="9"/>
      <c r="B1706" s="12"/>
      <c r="C1706" s="10"/>
      <c r="D1706" s="10"/>
      <c r="E1706" s="10"/>
      <c r="F1706" s="9"/>
      <c r="G1706" s="11">
        <f>IF(OR(A1706="",B1706=""),"",IF(COUNTIFS($A$6:$A$2005,A1706,$B$6:$B$2005,B1706)&gt;1,"DUPLICATE",""))</f>
        <v/>
      </c>
    </row>
    <row r="1707" spans="1:7">
      <c r="A1707" s="9"/>
      <c r="B1707" s="12"/>
      <c r="C1707" s="10"/>
      <c r="D1707" s="10"/>
      <c r="E1707" s="10"/>
      <c r="F1707" s="9"/>
      <c r="G1707" s="11">
        <f>IF(OR(A1707="",B1707=""),"",IF(COUNTIFS($A$6:$A$2005,A1707,$B$6:$B$2005,B1707)&gt;1,"DUPLICATE",""))</f>
        <v/>
      </c>
    </row>
    <row r="1708" spans="1:7">
      <c r="A1708" s="9"/>
      <c r="B1708" s="12"/>
      <c r="C1708" s="10"/>
      <c r="D1708" s="10"/>
      <c r="E1708" s="10"/>
      <c r="F1708" s="9"/>
      <c r="G1708" s="11">
        <f>IF(OR(A1708="",B1708=""),"",IF(COUNTIFS($A$6:$A$2005,A1708,$B$6:$B$2005,B1708)&gt;1,"DUPLICATE",""))</f>
        <v/>
      </c>
    </row>
    <row r="1709" spans="1:7">
      <c r="A1709" s="9"/>
      <c r="B1709" s="12"/>
      <c r="C1709" s="10"/>
      <c r="D1709" s="10"/>
      <c r="E1709" s="10"/>
      <c r="F1709" s="9"/>
      <c r="G1709" s="11">
        <f>IF(OR(A1709="",B1709=""),"",IF(COUNTIFS($A$6:$A$2005,A1709,$B$6:$B$2005,B1709)&gt;1,"DUPLICATE",""))</f>
        <v/>
      </c>
    </row>
    <row r="1710" spans="1:7">
      <c r="A1710" s="9"/>
      <c r="B1710" s="12"/>
      <c r="C1710" s="10"/>
      <c r="D1710" s="10"/>
      <c r="E1710" s="10"/>
      <c r="F1710" s="9"/>
      <c r="G1710" s="11">
        <f>IF(OR(A1710="",B1710=""),"",IF(COUNTIFS($A$6:$A$2005,A1710,$B$6:$B$2005,B1710)&gt;1,"DUPLICATE",""))</f>
        <v/>
      </c>
    </row>
    <row r="1711" spans="1:7">
      <c r="A1711" s="9"/>
      <c r="B1711" s="12"/>
      <c r="C1711" s="10"/>
      <c r="D1711" s="10"/>
      <c r="E1711" s="10"/>
      <c r="F1711" s="9"/>
      <c r="G1711" s="11">
        <f>IF(OR(A1711="",B1711=""),"",IF(COUNTIFS($A$6:$A$2005,A1711,$B$6:$B$2005,B1711)&gt;1,"DUPLICATE",""))</f>
        <v/>
      </c>
    </row>
    <row r="1712" spans="1:7">
      <c r="A1712" s="9"/>
      <c r="B1712" s="12"/>
      <c r="C1712" s="10"/>
      <c r="D1712" s="10"/>
      <c r="E1712" s="10"/>
      <c r="F1712" s="9"/>
      <c r="G1712" s="11">
        <f>IF(OR(A1712="",B1712=""),"",IF(COUNTIFS($A$6:$A$2005,A1712,$B$6:$B$2005,B1712)&gt;1,"DUPLICATE",""))</f>
        <v/>
      </c>
    </row>
    <row r="1713" spans="1:7">
      <c r="A1713" s="9"/>
      <c r="B1713" s="12"/>
      <c r="C1713" s="10"/>
      <c r="D1713" s="10"/>
      <c r="E1713" s="10"/>
      <c r="F1713" s="9"/>
      <c r="G1713" s="11">
        <f>IF(OR(A1713="",B1713=""),"",IF(COUNTIFS($A$6:$A$2005,A1713,$B$6:$B$2005,B1713)&gt;1,"DUPLICATE",""))</f>
        <v/>
      </c>
    </row>
    <row r="1714" spans="1:7">
      <c r="A1714" s="9"/>
      <c r="B1714" s="12"/>
      <c r="C1714" s="10"/>
      <c r="D1714" s="10"/>
      <c r="E1714" s="10"/>
      <c r="F1714" s="9"/>
      <c r="G1714" s="11">
        <f>IF(OR(A1714="",B1714=""),"",IF(COUNTIFS($A$6:$A$2005,A1714,$B$6:$B$2005,B1714)&gt;1,"DUPLICATE",""))</f>
        <v/>
      </c>
    </row>
    <row r="1715" spans="1:7">
      <c r="A1715" s="9"/>
      <c r="B1715" s="12"/>
      <c r="C1715" s="10"/>
      <c r="D1715" s="10"/>
      <c r="E1715" s="10"/>
      <c r="F1715" s="9"/>
      <c r="G1715" s="11">
        <f>IF(OR(A1715="",B1715=""),"",IF(COUNTIFS($A$6:$A$2005,A1715,$B$6:$B$2005,B1715)&gt;1,"DUPLICATE",""))</f>
        <v/>
      </c>
    </row>
    <row r="1716" spans="1:7">
      <c r="A1716" s="9"/>
      <c r="B1716" s="12"/>
      <c r="C1716" s="10"/>
      <c r="D1716" s="10"/>
      <c r="E1716" s="10"/>
      <c r="F1716" s="9"/>
      <c r="G1716" s="11">
        <f>IF(OR(A1716="",B1716=""),"",IF(COUNTIFS($A$6:$A$2005,A1716,$B$6:$B$2005,B1716)&gt;1,"DUPLICATE",""))</f>
        <v/>
      </c>
    </row>
    <row r="1717" spans="1:7">
      <c r="A1717" s="9"/>
      <c r="B1717" s="12"/>
      <c r="C1717" s="10"/>
      <c r="D1717" s="10"/>
      <c r="E1717" s="10"/>
      <c r="F1717" s="9"/>
      <c r="G1717" s="11">
        <f>IF(OR(A1717="",B1717=""),"",IF(COUNTIFS($A$6:$A$2005,A1717,$B$6:$B$2005,B1717)&gt;1,"DUPLICATE",""))</f>
        <v/>
      </c>
    </row>
    <row r="1718" spans="1:7">
      <c r="A1718" s="9"/>
      <c r="B1718" s="12"/>
      <c r="C1718" s="10"/>
      <c r="D1718" s="10"/>
      <c r="E1718" s="10"/>
      <c r="F1718" s="9"/>
      <c r="G1718" s="11">
        <f>IF(OR(A1718="",B1718=""),"",IF(COUNTIFS($A$6:$A$2005,A1718,$B$6:$B$2005,B1718)&gt;1,"DUPLICATE",""))</f>
        <v/>
      </c>
    </row>
    <row r="1719" spans="1:7">
      <c r="A1719" s="9"/>
      <c r="B1719" s="12"/>
      <c r="C1719" s="10"/>
      <c r="D1719" s="10"/>
      <c r="E1719" s="10"/>
      <c r="F1719" s="9"/>
      <c r="G1719" s="11">
        <f>IF(OR(A1719="",B1719=""),"",IF(COUNTIFS($A$6:$A$2005,A1719,$B$6:$B$2005,B1719)&gt;1,"DUPLICATE",""))</f>
        <v/>
      </c>
    </row>
    <row r="1720" spans="1:7">
      <c r="A1720" s="9"/>
      <c r="B1720" s="12"/>
      <c r="C1720" s="10"/>
      <c r="D1720" s="10"/>
      <c r="E1720" s="10"/>
      <c r="F1720" s="9"/>
      <c r="G1720" s="11">
        <f>IF(OR(A1720="",B1720=""),"",IF(COUNTIFS($A$6:$A$2005,A1720,$B$6:$B$2005,B1720)&gt;1,"DUPLICATE",""))</f>
        <v/>
      </c>
    </row>
    <row r="1721" spans="1:7">
      <c r="A1721" s="9"/>
      <c r="B1721" s="12"/>
      <c r="C1721" s="10"/>
      <c r="D1721" s="10"/>
      <c r="E1721" s="10"/>
      <c r="F1721" s="9"/>
      <c r="G1721" s="11">
        <f>IF(OR(A1721="",B1721=""),"",IF(COUNTIFS($A$6:$A$2005,A1721,$B$6:$B$2005,B1721)&gt;1,"DUPLICATE",""))</f>
        <v/>
      </c>
    </row>
    <row r="1722" spans="1:7">
      <c r="A1722" s="9"/>
      <c r="B1722" s="12"/>
      <c r="C1722" s="10"/>
      <c r="D1722" s="10"/>
      <c r="E1722" s="10"/>
      <c r="F1722" s="9"/>
      <c r="G1722" s="11">
        <f>IF(OR(A1722="",B1722=""),"",IF(COUNTIFS($A$6:$A$2005,A1722,$B$6:$B$2005,B1722)&gt;1,"DUPLICATE",""))</f>
        <v/>
      </c>
    </row>
    <row r="1723" spans="1:7">
      <c r="A1723" s="9"/>
      <c r="B1723" s="12"/>
      <c r="C1723" s="10"/>
      <c r="D1723" s="10"/>
      <c r="E1723" s="10"/>
      <c r="F1723" s="9"/>
      <c r="G1723" s="11">
        <f>IF(OR(A1723="",B1723=""),"",IF(COUNTIFS($A$6:$A$2005,A1723,$B$6:$B$2005,B1723)&gt;1,"DUPLICATE",""))</f>
        <v/>
      </c>
    </row>
    <row r="1724" spans="1:7">
      <c r="A1724" s="9"/>
      <c r="B1724" s="12"/>
      <c r="C1724" s="10"/>
      <c r="D1724" s="10"/>
      <c r="E1724" s="10"/>
      <c r="F1724" s="9"/>
      <c r="G1724" s="11">
        <f>IF(OR(A1724="",B1724=""),"",IF(COUNTIFS($A$6:$A$2005,A1724,$B$6:$B$2005,B1724)&gt;1,"DUPLICATE",""))</f>
        <v/>
      </c>
    </row>
    <row r="1725" spans="1:7">
      <c r="A1725" s="9"/>
      <c r="B1725" s="12"/>
      <c r="C1725" s="10"/>
      <c r="D1725" s="10"/>
      <c r="E1725" s="10"/>
      <c r="F1725" s="9"/>
      <c r="G1725" s="11">
        <f>IF(OR(A1725="",B1725=""),"",IF(COUNTIFS($A$6:$A$2005,A1725,$B$6:$B$2005,B1725)&gt;1,"DUPLICATE",""))</f>
        <v/>
      </c>
    </row>
    <row r="1726" spans="1:7">
      <c r="A1726" s="9"/>
      <c r="B1726" s="12"/>
      <c r="C1726" s="10"/>
      <c r="D1726" s="10"/>
      <c r="E1726" s="10"/>
      <c r="F1726" s="9"/>
      <c r="G1726" s="11">
        <f>IF(OR(A1726="",B1726=""),"",IF(COUNTIFS($A$6:$A$2005,A1726,$B$6:$B$2005,B1726)&gt;1,"DUPLICATE",""))</f>
        <v/>
      </c>
    </row>
    <row r="1727" spans="1:7">
      <c r="A1727" s="9"/>
      <c r="B1727" s="12"/>
      <c r="C1727" s="10"/>
      <c r="D1727" s="10"/>
      <c r="E1727" s="10"/>
      <c r="F1727" s="9"/>
      <c r="G1727" s="11">
        <f>IF(OR(A1727="",B1727=""),"",IF(COUNTIFS($A$6:$A$2005,A1727,$B$6:$B$2005,B1727)&gt;1,"DUPLICATE",""))</f>
        <v/>
      </c>
    </row>
    <row r="1728" spans="1:7">
      <c r="A1728" s="9"/>
      <c r="B1728" s="12"/>
      <c r="C1728" s="10"/>
      <c r="D1728" s="10"/>
      <c r="E1728" s="10"/>
      <c r="F1728" s="9"/>
      <c r="G1728" s="11">
        <f>IF(OR(A1728="",B1728=""),"",IF(COUNTIFS($A$6:$A$2005,A1728,$B$6:$B$2005,B1728)&gt;1,"DUPLICATE",""))</f>
        <v/>
      </c>
    </row>
    <row r="1729" spans="1:7">
      <c r="A1729" s="9"/>
      <c r="B1729" s="12"/>
      <c r="C1729" s="10"/>
      <c r="D1729" s="10"/>
      <c r="E1729" s="10"/>
      <c r="F1729" s="9"/>
      <c r="G1729" s="11">
        <f>IF(OR(A1729="",B1729=""),"",IF(COUNTIFS($A$6:$A$2005,A1729,$B$6:$B$2005,B1729)&gt;1,"DUPLICATE",""))</f>
        <v/>
      </c>
    </row>
    <row r="1730" spans="1:7">
      <c r="A1730" s="9"/>
      <c r="B1730" s="12"/>
      <c r="C1730" s="10"/>
      <c r="D1730" s="10"/>
      <c r="E1730" s="10"/>
      <c r="F1730" s="9"/>
      <c r="G1730" s="11">
        <f>IF(OR(A1730="",B1730=""),"",IF(COUNTIFS($A$6:$A$2005,A1730,$B$6:$B$2005,B1730)&gt;1,"DUPLICATE",""))</f>
        <v/>
      </c>
    </row>
    <row r="1731" spans="1:7">
      <c r="A1731" s="9"/>
      <c r="B1731" s="12"/>
      <c r="C1731" s="10"/>
      <c r="D1731" s="10"/>
      <c r="E1731" s="10"/>
      <c r="F1731" s="9"/>
      <c r="G1731" s="11">
        <f>IF(OR(A1731="",B1731=""),"",IF(COUNTIFS($A$6:$A$2005,A1731,$B$6:$B$2005,B1731)&gt;1,"DUPLICATE",""))</f>
        <v/>
      </c>
    </row>
    <row r="1732" spans="1:7">
      <c r="A1732" s="9"/>
      <c r="B1732" s="12"/>
      <c r="C1732" s="10"/>
      <c r="D1732" s="10"/>
      <c r="E1732" s="10"/>
      <c r="F1732" s="9"/>
      <c r="G1732" s="11">
        <f>IF(OR(A1732="",B1732=""),"",IF(COUNTIFS($A$6:$A$2005,A1732,$B$6:$B$2005,B1732)&gt;1,"DUPLICATE",""))</f>
        <v/>
      </c>
    </row>
    <row r="1733" spans="1:7">
      <c r="A1733" s="9"/>
      <c r="B1733" s="12"/>
      <c r="C1733" s="10"/>
      <c r="D1733" s="10"/>
      <c r="E1733" s="10"/>
      <c r="F1733" s="9"/>
      <c r="G1733" s="11">
        <f>IF(OR(A1733="",B1733=""),"",IF(COUNTIFS($A$6:$A$2005,A1733,$B$6:$B$2005,B1733)&gt;1,"DUPLICATE",""))</f>
        <v/>
      </c>
    </row>
    <row r="1734" spans="1:7">
      <c r="A1734" s="9"/>
      <c r="B1734" s="12"/>
      <c r="C1734" s="10"/>
      <c r="D1734" s="10"/>
      <c r="E1734" s="10"/>
      <c r="F1734" s="9"/>
      <c r="G1734" s="11">
        <f>IF(OR(A1734="",B1734=""),"",IF(COUNTIFS($A$6:$A$2005,A1734,$B$6:$B$2005,B1734)&gt;1,"DUPLICATE",""))</f>
        <v/>
      </c>
    </row>
    <row r="1735" spans="1:7">
      <c r="A1735" s="9"/>
      <c r="B1735" s="12"/>
      <c r="C1735" s="10"/>
      <c r="D1735" s="10"/>
      <c r="E1735" s="10"/>
      <c r="F1735" s="9"/>
      <c r="G1735" s="11">
        <f>IF(OR(A1735="",B1735=""),"",IF(COUNTIFS($A$6:$A$2005,A1735,$B$6:$B$2005,B1735)&gt;1,"DUPLICATE",""))</f>
        <v/>
      </c>
    </row>
    <row r="1736" spans="1:7">
      <c r="A1736" s="9"/>
      <c r="B1736" s="12"/>
      <c r="C1736" s="10"/>
      <c r="D1736" s="10"/>
      <c r="E1736" s="10"/>
      <c r="F1736" s="9"/>
      <c r="G1736" s="11">
        <f>IF(OR(A1736="",B1736=""),"",IF(COUNTIFS($A$6:$A$2005,A1736,$B$6:$B$2005,B1736)&gt;1,"DUPLICATE",""))</f>
        <v/>
      </c>
    </row>
    <row r="1737" spans="1:7">
      <c r="A1737" s="9"/>
      <c r="B1737" s="12"/>
      <c r="C1737" s="10"/>
      <c r="D1737" s="10"/>
      <c r="E1737" s="10"/>
      <c r="F1737" s="9"/>
      <c r="G1737" s="11">
        <f>IF(OR(A1737="",B1737=""),"",IF(COUNTIFS($A$6:$A$2005,A1737,$B$6:$B$2005,B1737)&gt;1,"DUPLICATE",""))</f>
        <v/>
      </c>
    </row>
    <row r="1738" spans="1:7">
      <c r="A1738" s="9"/>
      <c r="B1738" s="12"/>
      <c r="C1738" s="10"/>
      <c r="D1738" s="10"/>
      <c r="E1738" s="10"/>
      <c r="F1738" s="9"/>
      <c r="G1738" s="11">
        <f>IF(OR(A1738="",B1738=""),"",IF(COUNTIFS($A$6:$A$2005,A1738,$B$6:$B$2005,B1738)&gt;1,"DUPLICATE",""))</f>
        <v/>
      </c>
    </row>
    <row r="1739" spans="1:7">
      <c r="A1739" s="9"/>
      <c r="B1739" s="12"/>
      <c r="C1739" s="10"/>
      <c r="D1739" s="10"/>
      <c r="E1739" s="10"/>
      <c r="F1739" s="9"/>
      <c r="G1739" s="11">
        <f>IF(OR(A1739="",B1739=""),"",IF(COUNTIFS($A$6:$A$2005,A1739,$B$6:$B$2005,B1739)&gt;1,"DUPLICATE",""))</f>
        <v/>
      </c>
    </row>
    <row r="1740" spans="1:7">
      <c r="A1740" s="9"/>
      <c r="B1740" s="12"/>
      <c r="C1740" s="10"/>
      <c r="D1740" s="10"/>
      <c r="E1740" s="10"/>
      <c r="F1740" s="9"/>
      <c r="G1740" s="11">
        <f>IF(OR(A1740="",B1740=""),"",IF(COUNTIFS($A$6:$A$2005,A1740,$B$6:$B$2005,B1740)&gt;1,"DUPLICATE",""))</f>
        <v/>
      </c>
    </row>
    <row r="1741" spans="1:7">
      <c r="A1741" s="9"/>
      <c r="B1741" s="12"/>
      <c r="C1741" s="10"/>
      <c r="D1741" s="10"/>
      <c r="E1741" s="10"/>
      <c r="F1741" s="9"/>
      <c r="G1741" s="11">
        <f>IF(OR(A1741="",B1741=""),"",IF(COUNTIFS($A$6:$A$2005,A1741,$B$6:$B$2005,B1741)&gt;1,"DUPLICATE",""))</f>
        <v/>
      </c>
    </row>
    <row r="1742" spans="1:7">
      <c r="A1742" s="9"/>
      <c r="B1742" s="12"/>
      <c r="C1742" s="10"/>
      <c r="D1742" s="10"/>
      <c r="E1742" s="10"/>
      <c r="F1742" s="9"/>
      <c r="G1742" s="11">
        <f>IF(OR(A1742="",B1742=""),"",IF(COUNTIFS($A$6:$A$2005,A1742,$B$6:$B$2005,B1742)&gt;1,"DUPLICATE",""))</f>
        <v/>
      </c>
    </row>
    <row r="1743" spans="1:7">
      <c r="A1743" s="9"/>
      <c r="B1743" s="12"/>
      <c r="C1743" s="10"/>
      <c r="D1743" s="10"/>
      <c r="E1743" s="10"/>
      <c r="F1743" s="9"/>
      <c r="G1743" s="11">
        <f>IF(OR(A1743="",B1743=""),"",IF(COUNTIFS($A$6:$A$2005,A1743,$B$6:$B$2005,B1743)&gt;1,"DUPLICATE",""))</f>
        <v/>
      </c>
    </row>
    <row r="1744" spans="1:7">
      <c r="A1744" s="9"/>
      <c r="B1744" s="12"/>
      <c r="C1744" s="10"/>
      <c r="D1744" s="10"/>
      <c r="E1744" s="10"/>
      <c r="F1744" s="9"/>
      <c r="G1744" s="11">
        <f>IF(OR(A1744="",B1744=""),"",IF(COUNTIFS($A$6:$A$2005,A1744,$B$6:$B$2005,B1744)&gt;1,"DUPLICATE",""))</f>
        <v/>
      </c>
    </row>
    <row r="1745" spans="1:7">
      <c r="A1745" s="9"/>
      <c r="B1745" s="12"/>
      <c r="C1745" s="10"/>
      <c r="D1745" s="10"/>
      <c r="E1745" s="10"/>
      <c r="F1745" s="9"/>
      <c r="G1745" s="11">
        <f>IF(OR(A1745="",B1745=""),"",IF(COUNTIFS($A$6:$A$2005,A1745,$B$6:$B$2005,B1745)&gt;1,"DUPLICATE",""))</f>
        <v/>
      </c>
    </row>
    <row r="1746" spans="1:7">
      <c r="A1746" s="9"/>
      <c r="B1746" s="12"/>
      <c r="C1746" s="10"/>
      <c r="D1746" s="10"/>
      <c r="E1746" s="10"/>
      <c r="F1746" s="9"/>
      <c r="G1746" s="11">
        <f>IF(OR(A1746="",B1746=""),"",IF(COUNTIFS($A$6:$A$2005,A1746,$B$6:$B$2005,B1746)&gt;1,"DUPLICATE",""))</f>
        <v/>
      </c>
    </row>
    <row r="1747" spans="1:7">
      <c r="A1747" s="9"/>
      <c r="B1747" s="12"/>
      <c r="C1747" s="10"/>
      <c r="D1747" s="10"/>
      <c r="E1747" s="10"/>
      <c r="F1747" s="9"/>
      <c r="G1747" s="11">
        <f>IF(OR(A1747="",B1747=""),"",IF(COUNTIFS($A$6:$A$2005,A1747,$B$6:$B$2005,B1747)&gt;1,"DUPLICATE",""))</f>
        <v/>
      </c>
    </row>
    <row r="1748" spans="1:7">
      <c r="A1748" s="9"/>
      <c r="B1748" s="12"/>
      <c r="C1748" s="10"/>
      <c r="D1748" s="10"/>
      <c r="E1748" s="10"/>
      <c r="F1748" s="9"/>
      <c r="G1748" s="11">
        <f>IF(OR(A1748="",B1748=""),"",IF(COUNTIFS($A$6:$A$2005,A1748,$B$6:$B$2005,B1748)&gt;1,"DUPLICATE",""))</f>
        <v/>
      </c>
    </row>
    <row r="1749" spans="1:7">
      <c r="A1749" s="9"/>
      <c r="B1749" s="12"/>
      <c r="C1749" s="10"/>
      <c r="D1749" s="10"/>
      <c r="E1749" s="10"/>
      <c r="F1749" s="9"/>
      <c r="G1749" s="11">
        <f>IF(OR(A1749="",B1749=""),"",IF(COUNTIFS($A$6:$A$2005,A1749,$B$6:$B$2005,B1749)&gt;1,"DUPLICATE",""))</f>
        <v/>
      </c>
    </row>
    <row r="1750" spans="1:7">
      <c r="A1750" s="9"/>
      <c r="B1750" s="12"/>
      <c r="C1750" s="10"/>
      <c r="D1750" s="10"/>
      <c r="E1750" s="10"/>
      <c r="F1750" s="9"/>
      <c r="G1750" s="11">
        <f>IF(OR(A1750="",B1750=""),"",IF(COUNTIFS($A$6:$A$2005,A1750,$B$6:$B$2005,B1750)&gt;1,"DUPLICATE",""))</f>
        <v/>
      </c>
    </row>
    <row r="1751" spans="1:7">
      <c r="A1751" s="9"/>
      <c r="B1751" s="12"/>
      <c r="C1751" s="10"/>
      <c r="D1751" s="10"/>
      <c r="E1751" s="10"/>
      <c r="F1751" s="9"/>
      <c r="G1751" s="11">
        <f>IF(OR(A1751="",B1751=""),"",IF(COUNTIFS($A$6:$A$2005,A1751,$B$6:$B$2005,B1751)&gt;1,"DUPLICATE",""))</f>
        <v/>
      </c>
    </row>
    <row r="1752" spans="1:7">
      <c r="A1752" s="9"/>
      <c r="B1752" s="12"/>
      <c r="C1752" s="10"/>
      <c r="D1752" s="10"/>
      <c r="E1752" s="10"/>
      <c r="F1752" s="9"/>
      <c r="G1752" s="11">
        <f>IF(OR(A1752="",B1752=""),"",IF(COUNTIFS($A$6:$A$2005,A1752,$B$6:$B$2005,B1752)&gt;1,"DUPLICATE",""))</f>
        <v/>
      </c>
    </row>
    <row r="1753" spans="1:7">
      <c r="A1753" s="9"/>
      <c r="B1753" s="12"/>
      <c r="C1753" s="10"/>
      <c r="D1753" s="10"/>
      <c r="E1753" s="10"/>
      <c r="F1753" s="9"/>
      <c r="G1753" s="11">
        <f>IF(OR(A1753="",B1753=""),"",IF(COUNTIFS($A$6:$A$2005,A1753,$B$6:$B$2005,B1753)&gt;1,"DUPLICATE",""))</f>
        <v/>
      </c>
    </row>
    <row r="1754" spans="1:7">
      <c r="A1754" s="9"/>
      <c r="B1754" s="12"/>
      <c r="C1754" s="10"/>
      <c r="D1754" s="10"/>
      <c r="E1754" s="10"/>
      <c r="F1754" s="9"/>
      <c r="G1754" s="11">
        <f>IF(OR(A1754="",B1754=""),"",IF(COUNTIFS($A$6:$A$2005,A1754,$B$6:$B$2005,B1754)&gt;1,"DUPLICATE",""))</f>
        <v/>
      </c>
    </row>
    <row r="1755" spans="1:7">
      <c r="A1755" s="9"/>
      <c r="B1755" s="12"/>
      <c r="C1755" s="10"/>
      <c r="D1755" s="10"/>
      <c r="E1755" s="10"/>
      <c r="F1755" s="9"/>
      <c r="G1755" s="11">
        <f>IF(OR(A1755="",B1755=""),"",IF(COUNTIFS($A$6:$A$2005,A1755,$B$6:$B$2005,B1755)&gt;1,"DUPLICATE",""))</f>
        <v/>
      </c>
    </row>
    <row r="1756" spans="1:7">
      <c r="A1756" s="9"/>
      <c r="B1756" s="12"/>
      <c r="C1756" s="10"/>
      <c r="D1756" s="10"/>
      <c r="E1756" s="10"/>
      <c r="F1756" s="9"/>
      <c r="G1756" s="11">
        <f>IF(OR(A1756="",B1756=""),"",IF(COUNTIFS($A$6:$A$2005,A1756,$B$6:$B$2005,B1756)&gt;1,"DUPLICATE",""))</f>
        <v/>
      </c>
    </row>
    <row r="1757" spans="1:7">
      <c r="A1757" s="9"/>
      <c r="B1757" s="12"/>
      <c r="C1757" s="10"/>
      <c r="D1757" s="10"/>
      <c r="E1757" s="10"/>
      <c r="F1757" s="9"/>
      <c r="G1757" s="11">
        <f>IF(OR(A1757="",B1757=""),"",IF(COUNTIFS($A$6:$A$2005,A1757,$B$6:$B$2005,B1757)&gt;1,"DUPLICATE",""))</f>
        <v/>
      </c>
    </row>
    <row r="1758" spans="1:7">
      <c r="A1758" s="9"/>
      <c r="B1758" s="12"/>
      <c r="C1758" s="10"/>
      <c r="D1758" s="10"/>
      <c r="E1758" s="10"/>
      <c r="F1758" s="9"/>
      <c r="G1758" s="11">
        <f>IF(OR(A1758="",B1758=""),"",IF(COUNTIFS($A$6:$A$2005,A1758,$B$6:$B$2005,B1758)&gt;1,"DUPLICATE",""))</f>
        <v/>
      </c>
    </row>
    <row r="1759" spans="1:7">
      <c r="A1759" s="9"/>
      <c r="B1759" s="12"/>
      <c r="C1759" s="10"/>
      <c r="D1759" s="10"/>
      <c r="E1759" s="10"/>
      <c r="F1759" s="9"/>
      <c r="G1759" s="11">
        <f>IF(OR(A1759="",B1759=""),"",IF(COUNTIFS($A$6:$A$2005,A1759,$B$6:$B$2005,B1759)&gt;1,"DUPLICATE",""))</f>
        <v/>
      </c>
    </row>
    <row r="1760" spans="1:7">
      <c r="A1760" s="9"/>
      <c r="B1760" s="12"/>
      <c r="C1760" s="10"/>
      <c r="D1760" s="10"/>
      <c r="E1760" s="10"/>
      <c r="F1760" s="9"/>
      <c r="G1760" s="11">
        <f>IF(OR(A1760="",B1760=""),"",IF(COUNTIFS($A$6:$A$2005,A1760,$B$6:$B$2005,B1760)&gt;1,"DUPLICATE",""))</f>
        <v/>
      </c>
    </row>
    <row r="1761" spans="1:7">
      <c r="A1761" s="9"/>
      <c r="B1761" s="12"/>
      <c r="C1761" s="10"/>
      <c r="D1761" s="10"/>
      <c r="E1761" s="10"/>
      <c r="F1761" s="9"/>
      <c r="G1761" s="11">
        <f>IF(OR(A1761="",B1761=""),"",IF(COUNTIFS($A$6:$A$2005,A1761,$B$6:$B$2005,B1761)&gt;1,"DUPLICATE",""))</f>
        <v/>
      </c>
    </row>
    <row r="1762" spans="1:7">
      <c r="A1762" s="9"/>
      <c r="B1762" s="12"/>
      <c r="C1762" s="10"/>
      <c r="D1762" s="10"/>
      <c r="E1762" s="10"/>
      <c r="F1762" s="9"/>
      <c r="G1762" s="11">
        <f>IF(OR(A1762="",B1762=""),"",IF(COUNTIFS($A$6:$A$2005,A1762,$B$6:$B$2005,B1762)&gt;1,"DUPLICATE",""))</f>
        <v/>
      </c>
    </row>
    <row r="1763" spans="1:7">
      <c r="A1763" s="9"/>
      <c r="B1763" s="12"/>
      <c r="C1763" s="10"/>
      <c r="D1763" s="10"/>
      <c r="E1763" s="10"/>
      <c r="F1763" s="9"/>
      <c r="G1763" s="11">
        <f>IF(OR(A1763="",B1763=""),"",IF(COUNTIFS($A$6:$A$2005,A1763,$B$6:$B$2005,B1763)&gt;1,"DUPLICATE",""))</f>
        <v/>
      </c>
    </row>
    <row r="1764" spans="1:7">
      <c r="A1764" s="9"/>
      <c r="B1764" s="12"/>
      <c r="C1764" s="10"/>
      <c r="D1764" s="10"/>
      <c r="E1764" s="10"/>
      <c r="F1764" s="9"/>
      <c r="G1764" s="11">
        <f>IF(OR(A1764="",B1764=""),"",IF(COUNTIFS($A$6:$A$2005,A1764,$B$6:$B$2005,B1764)&gt;1,"DUPLICATE",""))</f>
        <v/>
      </c>
    </row>
    <row r="1765" spans="1:7">
      <c r="A1765" s="9"/>
      <c r="B1765" s="12"/>
      <c r="C1765" s="10"/>
      <c r="D1765" s="10"/>
      <c r="E1765" s="10"/>
      <c r="F1765" s="9"/>
      <c r="G1765" s="11">
        <f>IF(OR(A1765="",B1765=""),"",IF(COUNTIFS($A$6:$A$2005,A1765,$B$6:$B$2005,B1765)&gt;1,"DUPLICATE",""))</f>
        <v/>
      </c>
    </row>
    <row r="1766" spans="1:7">
      <c r="A1766" s="9"/>
      <c r="B1766" s="12"/>
      <c r="C1766" s="10"/>
      <c r="D1766" s="10"/>
      <c r="E1766" s="10"/>
      <c r="F1766" s="9"/>
      <c r="G1766" s="11">
        <f>IF(OR(A1766="",B1766=""),"",IF(COUNTIFS($A$6:$A$2005,A1766,$B$6:$B$2005,B1766)&gt;1,"DUPLICATE",""))</f>
        <v/>
      </c>
    </row>
    <row r="1767" spans="1:7">
      <c r="A1767" s="9"/>
      <c r="B1767" s="12"/>
      <c r="C1767" s="10"/>
      <c r="D1767" s="10"/>
      <c r="E1767" s="10"/>
      <c r="F1767" s="9"/>
      <c r="G1767" s="11">
        <f>IF(OR(A1767="",B1767=""),"",IF(COUNTIFS($A$6:$A$2005,A1767,$B$6:$B$2005,B1767)&gt;1,"DUPLICATE",""))</f>
        <v/>
      </c>
    </row>
    <row r="1768" spans="1:7">
      <c r="A1768" s="9"/>
      <c r="B1768" s="12"/>
      <c r="C1768" s="10"/>
      <c r="D1768" s="10"/>
      <c r="E1768" s="10"/>
      <c r="F1768" s="9"/>
      <c r="G1768" s="11">
        <f>IF(OR(A1768="",B1768=""),"",IF(COUNTIFS($A$6:$A$2005,A1768,$B$6:$B$2005,B1768)&gt;1,"DUPLICATE",""))</f>
        <v/>
      </c>
    </row>
    <row r="1769" spans="1:7">
      <c r="A1769" s="9"/>
      <c r="B1769" s="12"/>
      <c r="C1769" s="10"/>
      <c r="D1769" s="10"/>
      <c r="E1769" s="10"/>
      <c r="F1769" s="9"/>
      <c r="G1769" s="11">
        <f>IF(OR(A1769="",B1769=""),"",IF(COUNTIFS($A$6:$A$2005,A1769,$B$6:$B$2005,B1769)&gt;1,"DUPLICATE",""))</f>
        <v/>
      </c>
    </row>
    <row r="1770" spans="1:7">
      <c r="A1770" s="9"/>
      <c r="B1770" s="12"/>
      <c r="C1770" s="10"/>
      <c r="D1770" s="10"/>
      <c r="E1770" s="10"/>
      <c r="F1770" s="9"/>
      <c r="G1770" s="11">
        <f>IF(OR(A1770="",B1770=""),"",IF(COUNTIFS($A$6:$A$2005,A1770,$B$6:$B$2005,B1770)&gt;1,"DUPLICATE",""))</f>
        <v/>
      </c>
    </row>
    <row r="1771" spans="1:7">
      <c r="A1771" s="9"/>
      <c r="B1771" s="12"/>
      <c r="C1771" s="10"/>
      <c r="D1771" s="10"/>
      <c r="E1771" s="10"/>
      <c r="F1771" s="9"/>
      <c r="G1771" s="11">
        <f>IF(OR(A1771="",B1771=""),"",IF(COUNTIFS($A$6:$A$2005,A1771,$B$6:$B$2005,B1771)&gt;1,"DUPLICATE",""))</f>
        <v/>
      </c>
    </row>
    <row r="1772" spans="1:7">
      <c r="A1772" s="9"/>
      <c r="B1772" s="12"/>
      <c r="C1772" s="10"/>
      <c r="D1772" s="10"/>
      <c r="E1772" s="10"/>
      <c r="F1772" s="9"/>
      <c r="G1772" s="11">
        <f>IF(OR(A1772="",B1772=""),"",IF(COUNTIFS($A$6:$A$2005,A1772,$B$6:$B$2005,B1772)&gt;1,"DUPLICATE",""))</f>
        <v/>
      </c>
    </row>
    <row r="1773" spans="1:7">
      <c r="A1773" s="9"/>
      <c r="B1773" s="12"/>
      <c r="C1773" s="10"/>
      <c r="D1773" s="10"/>
      <c r="E1773" s="10"/>
      <c r="F1773" s="9"/>
      <c r="G1773" s="11">
        <f>IF(OR(A1773="",B1773=""),"",IF(COUNTIFS($A$6:$A$2005,A1773,$B$6:$B$2005,B1773)&gt;1,"DUPLICATE",""))</f>
        <v/>
      </c>
    </row>
    <row r="1774" spans="1:7">
      <c r="A1774" s="9"/>
      <c r="B1774" s="12"/>
      <c r="C1774" s="10"/>
      <c r="D1774" s="10"/>
      <c r="E1774" s="10"/>
      <c r="F1774" s="9"/>
      <c r="G1774" s="11">
        <f>IF(OR(A1774="",B1774=""),"",IF(COUNTIFS($A$6:$A$2005,A1774,$B$6:$B$2005,B1774)&gt;1,"DUPLICATE",""))</f>
        <v/>
      </c>
    </row>
    <row r="1775" spans="1:7">
      <c r="A1775" s="9"/>
      <c r="B1775" s="12"/>
      <c r="C1775" s="10"/>
      <c r="D1775" s="10"/>
      <c r="E1775" s="10"/>
      <c r="F1775" s="9"/>
      <c r="G1775" s="11">
        <f>IF(OR(A1775="",B1775=""),"",IF(COUNTIFS($A$6:$A$2005,A1775,$B$6:$B$2005,B1775)&gt;1,"DUPLICATE",""))</f>
        <v/>
      </c>
    </row>
    <row r="1776" spans="1:7">
      <c r="A1776" s="9"/>
      <c r="B1776" s="12"/>
      <c r="C1776" s="10"/>
      <c r="D1776" s="10"/>
      <c r="E1776" s="10"/>
      <c r="F1776" s="9"/>
      <c r="G1776" s="11">
        <f>IF(OR(A1776="",B1776=""),"",IF(COUNTIFS($A$6:$A$2005,A1776,$B$6:$B$2005,B1776)&gt;1,"DUPLICATE",""))</f>
        <v/>
      </c>
    </row>
    <row r="1777" spans="1:7">
      <c r="A1777" s="9"/>
      <c r="B1777" s="12"/>
      <c r="C1777" s="10"/>
      <c r="D1777" s="10"/>
      <c r="E1777" s="10"/>
      <c r="F1777" s="9"/>
      <c r="G1777" s="11">
        <f>IF(OR(A1777="",B1777=""),"",IF(COUNTIFS($A$6:$A$2005,A1777,$B$6:$B$2005,B1777)&gt;1,"DUPLICATE",""))</f>
        <v/>
      </c>
    </row>
    <row r="1778" spans="1:7">
      <c r="A1778" s="9"/>
      <c r="B1778" s="12"/>
      <c r="C1778" s="10"/>
      <c r="D1778" s="10"/>
      <c r="E1778" s="10"/>
      <c r="F1778" s="9"/>
      <c r="G1778" s="11">
        <f>IF(OR(A1778="",B1778=""),"",IF(COUNTIFS($A$6:$A$2005,A1778,$B$6:$B$2005,B1778)&gt;1,"DUPLICATE",""))</f>
        <v/>
      </c>
    </row>
    <row r="1779" spans="1:7">
      <c r="A1779" s="9"/>
      <c r="B1779" s="12"/>
      <c r="C1779" s="10"/>
      <c r="D1779" s="10"/>
      <c r="E1779" s="10"/>
      <c r="F1779" s="9"/>
      <c r="G1779" s="11">
        <f>IF(OR(A1779="",B1779=""),"",IF(COUNTIFS($A$6:$A$2005,A1779,$B$6:$B$2005,B1779)&gt;1,"DUPLICATE",""))</f>
        <v/>
      </c>
    </row>
    <row r="1780" spans="1:7">
      <c r="A1780" s="9"/>
      <c r="B1780" s="12"/>
      <c r="C1780" s="10"/>
      <c r="D1780" s="10"/>
      <c r="E1780" s="10"/>
      <c r="F1780" s="9"/>
      <c r="G1780" s="11">
        <f>IF(OR(A1780="",B1780=""),"",IF(COUNTIFS($A$6:$A$2005,A1780,$B$6:$B$2005,B1780)&gt;1,"DUPLICATE",""))</f>
        <v/>
      </c>
    </row>
    <row r="1781" spans="1:7">
      <c r="A1781" s="9"/>
      <c r="B1781" s="12"/>
      <c r="C1781" s="10"/>
      <c r="D1781" s="10"/>
      <c r="E1781" s="10"/>
      <c r="F1781" s="9"/>
      <c r="G1781" s="11">
        <f>IF(OR(A1781="",B1781=""),"",IF(COUNTIFS($A$6:$A$2005,A1781,$B$6:$B$2005,B1781)&gt;1,"DUPLICATE",""))</f>
        <v/>
      </c>
    </row>
    <row r="1782" spans="1:7">
      <c r="A1782" s="9"/>
      <c r="B1782" s="12"/>
      <c r="C1782" s="10"/>
      <c r="D1782" s="10"/>
      <c r="E1782" s="10"/>
      <c r="F1782" s="9"/>
      <c r="G1782" s="11">
        <f>IF(OR(A1782="",B1782=""),"",IF(COUNTIFS($A$6:$A$2005,A1782,$B$6:$B$2005,B1782)&gt;1,"DUPLICATE",""))</f>
        <v/>
      </c>
    </row>
    <row r="1783" spans="1:7">
      <c r="A1783" s="9"/>
      <c r="B1783" s="12"/>
      <c r="C1783" s="10"/>
      <c r="D1783" s="10"/>
      <c r="E1783" s="10"/>
      <c r="F1783" s="9"/>
      <c r="G1783" s="11">
        <f>IF(OR(A1783="",B1783=""),"",IF(COUNTIFS($A$6:$A$2005,A1783,$B$6:$B$2005,B1783)&gt;1,"DUPLICATE",""))</f>
        <v/>
      </c>
    </row>
    <row r="1784" spans="1:7">
      <c r="A1784" s="9"/>
      <c r="B1784" s="12"/>
      <c r="C1784" s="10"/>
      <c r="D1784" s="10"/>
      <c r="E1784" s="10"/>
      <c r="F1784" s="9"/>
      <c r="G1784" s="11">
        <f>IF(OR(A1784="",B1784=""),"",IF(COUNTIFS($A$6:$A$2005,A1784,$B$6:$B$2005,B1784)&gt;1,"DUPLICATE",""))</f>
        <v/>
      </c>
    </row>
    <row r="1785" spans="1:7">
      <c r="A1785" s="9"/>
      <c r="B1785" s="12"/>
      <c r="C1785" s="10"/>
      <c r="D1785" s="10"/>
      <c r="E1785" s="10"/>
      <c r="F1785" s="9"/>
      <c r="G1785" s="11">
        <f>IF(OR(A1785="",B1785=""),"",IF(COUNTIFS($A$6:$A$2005,A1785,$B$6:$B$2005,B1785)&gt;1,"DUPLICATE",""))</f>
        <v/>
      </c>
    </row>
    <row r="1786" spans="1:7">
      <c r="A1786" s="9"/>
      <c r="B1786" s="12"/>
      <c r="C1786" s="10"/>
      <c r="D1786" s="10"/>
      <c r="E1786" s="10"/>
      <c r="F1786" s="9"/>
      <c r="G1786" s="11">
        <f>IF(OR(A1786="",B1786=""),"",IF(COUNTIFS($A$6:$A$2005,A1786,$B$6:$B$2005,B1786)&gt;1,"DUPLICATE",""))</f>
        <v/>
      </c>
    </row>
    <row r="1787" spans="1:7">
      <c r="A1787" s="9"/>
      <c r="B1787" s="12"/>
      <c r="C1787" s="10"/>
      <c r="D1787" s="10"/>
      <c r="E1787" s="10"/>
      <c r="F1787" s="9"/>
      <c r="G1787" s="11">
        <f>IF(OR(A1787="",B1787=""),"",IF(COUNTIFS($A$6:$A$2005,A1787,$B$6:$B$2005,B1787)&gt;1,"DUPLICATE",""))</f>
        <v/>
      </c>
    </row>
    <row r="1788" spans="1:7">
      <c r="A1788" s="9"/>
      <c r="B1788" s="12"/>
      <c r="C1788" s="10"/>
      <c r="D1788" s="10"/>
      <c r="E1788" s="10"/>
      <c r="F1788" s="9"/>
      <c r="G1788" s="11">
        <f>IF(OR(A1788="",B1788=""),"",IF(COUNTIFS($A$6:$A$2005,A1788,$B$6:$B$2005,B1788)&gt;1,"DUPLICATE",""))</f>
        <v/>
      </c>
    </row>
    <row r="1789" spans="1:7">
      <c r="A1789" s="9"/>
      <c r="B1789" s="12"/>
      <c r="C1789" s="10"/>
      <c r="D1789" s="10"/>
      <c r="E1789" s="10"/>
      <c r="F1789" s="9"/>
      <c r="G1789" s="11">
        <f>IF(OR(A1789="",B1789=""),"",IF(COUNTIFS($A$6:$A$2005,A1789,$B$6:$B$2005,B1789)&gt;1,"DUPLICATE",""))</f>
        <v/>
      </c>
    </row>
    <row r="1790" spans="1:7">
      <c r="A1790" s="9"/>
      <c r="B1790" s="12"/>
      <c r="C1790" s="10"/>
      <c r="D1790" s="10"/>
      <c r="E1790" s="10"/>
      <c r="F1790" s="9"/>
      <c r="G1790" s="11">
        <f>IF(OR(A1790="",B1790=""),"",IF(COUNTIFS($A$6:$A$2005,A1790,$B$6:$B$2005,B1790)&gt;1,"DUPLICATE",""))</f>
        <v/>
      </c>
    </row>
    <row r="1791" spans="1:7">
      <c r="A1791" s="9"/>
      <c r="B1791" s="12"/>
      <c r="C1791" s="10"/>
      <c r="D1791" s="10"/>
      <c r="E1791" s="10"/>
      <c r="F1791" s="9"/>
      <c r="G1791" s="11">
        <f>IF(OR(A1791="",B1791=""),"",IF(COUNTIFS($A$6:$A$2005,A1791,$B$6:$B$2005,B1791)&gt;1,"DUPLICATE",""))</f>
        <v/>
      </c>
    </row>
    <row r="1792" spans="1:7">
      <c r="A1792" s="9"/>
      <c r="B1792" s="12"/>
      <c r="C1792" s="10"/>
      <c r="D1792" s="10"/>
      <c r="E1792" s="10"/>
      <c r="F1792" s="9"/>
      <c r="G1792" s="11">
        <f>IF(OR(A1792="",B1792=""),"",IF(COUNTIFS($A$6:$A$2005,A1792,$B$6:$B$2005,B1792)&gt;1,"DUPLICATE",""))</f>
        <v/>
      </c>
    </row>
    <row r="1793" spans="1:7">
      <c r="A1793" s="9"/>
      <c r="B1793" s="12"/>
      <c r="C1793" s="10"/>
      <c r="D1793" s="10"/>
      <c r="E1793" s="10"/>
      <c r="F1793" s="9"/>
      <c r="G1793" s="11">
        <f>IF(OR(A1793="",B1793=""),"",IF(COUNTIFS($A$6:$A$2005,A1793,$B$6:$B$2005,B1793)&gt;1,"DUPLICATE",""))</f>
        <v/>
      </c>
    </row>
    <row r="1794" spans="1:7">
      <c r="A1794" s="9"/>
      <c r="B1794" s="12"/>
      <c r="C1794" s="10"/>
      <c r="D1794" s="10"/>
      <c r="E1794" s="10"/>
      <c r="F1794" s="9"/>
      <c r="G1794" s="11">
        <f>IF(OR(A1794="",B1794=""),"",IF(COUNTIFS($A$6:$A$2005,A1794,$B$6:$B$2005,B1794)&gt;1,"DUPLICATE",""))</f>
        <v/>
      </c>
    </row>
    <row r="1795" spans="1:7">
      <c r="A1795" s="9"/>
      <c r="B1795" s="12"/>
      <c r="C1795" s="10"/>
      <c r="D1795" s="10"/>
      <c r="E1795" s="10"/>
      <c r="F1795" s="9"/>
      <c r="G1795" s="11">
        <f>IF(OR(A1795="",B1795=""),"",IF(COUNTIFS($A$6:$A$2005,A1795,$B$6:$B$2005,B1795)&gt;1,"DUPLICATE",""))</f>
        <v/>
      </c>
    </row>
    <row r="1796" spans="1:7">
      <c r="A1796" s="9"/>
      <c r="B1796" s="12"/>
      <c r="C1796" s="10"/>
      <c r="D1796" s="10"/>
      <c r="E1796" s="10"/>
      <c r="F1796" s="9"/>
      <c r="G1796" s="11">
        <f>IF(OR(A1796="",B1796=""),"",IF(COUNTIFS($A$6:$A$2005,A1796,$B$6:$B$2005,B1796)&gt;1,"DUPLICATE",""))</f>
        <v/>
      </c>
    </row>
    <row r="1797" spans="1:7">
      <c r="A1797" s="9"/>
      <c r="B1797" s="12"/>
      <c r="C1797" s="10"/>
      <c r="D1797" s="10"/>
      <c r="E1797" s="10"/>
      <c r="F1797" s="9"/>
      <c r="G1797" s="11">
        <f>IF(OR(A1797="",B1797=""),"",IF(COUNTIFS($A$6:$A$2005,A1797,$B$6:$B$2005,B1797)&gt;1,"DUPLICATE",""))</f>
        <v/>
      </c>
    </row>
    <row r="1798" spans="1:7">
      <c r="A1798" s="9"/>
      <c r="B1798" s="12"/>
      <c r="C1798" s="10"/>
      <c r="D1798" s="10"/>
      <c r="E1798" s="10"/>
      <c r="F1798" s="9"/>
      <c r="G1798" s="11">
        <f>IF(OR(A1798="",B1798=""),"",IF(COUNTIFS($A$6:$A$2005,A1798,$B$6:$B$2005,B1798)&gt;1,"DUPLICATE",""))</f>
        <v/>
      </c>
    </row>
    <row r="1799" spans="1:7">
      <c r="A1799" s="9"/>
      <c r="B1799" s="12"/>
      <c r="C1799" s="10"/>
      <c r="D1799" s="10"/>
      <c r="E1799" s="10"/>
      <c r="F1799" s="9"/>
      <c r="G1799" s="11">
        <f>IF(OR(A1799="",B1799=""),"",IF(COUNTIFS($A$6:$A$2005,A1799,$B$6:$B$2005,B1799)&gt;1,"DUPLICATE",""))</f>
        <v/>
      </c>
    </row>
    <row r="1800" spans="1:7">
      <c r="A1800" s="9"/>
      <c r="B1800" s="12"/>
      <c r="C1800" s="10"/>
      <c r="D1800" s="10"/>
      <c r="E1800" s="10"/>
      <c r="F1800" s="9"/>
      <c r="G1800" s="11">
        <f>IF(OR(A1800="",B1800=""),"",IF(COUNTIFS($A$6:$A$2005,A1800,$B$6:$B$2005,B1800)&gt;1,"DUPLICATE",""))</f>
        <v/>
      </c>
    </row>
    <row r="1801" spans="1:7">
      <c r="A1801" s="9"/>
      <c r="B1801" s="12"/>
      <c r="C1801" s="10"/>
      <c r="D1801" s="10"/>
      <c r="E1801" s="10"/>
      <c r="F1801" s="9"/>
      <c r="G1801" s="11">
        <f>IF(OR(A1801="",B1801=""),"",IF(COUNTIFS($A$6:$A$2005,A1801,$B$6:$B$2005,B1801)&gt;1,"DUPLICATE",""))</f>
        <v/>
      </c>
    </row>
    <row r="1802" spans="1:7">
      <c r="A1802" s="9"/>
      <c r="B1802" s="12"/>
      <c r="C1802" s="10"/>
      <c r="D1802" s="10"/>
      <c r="E1802" s="10"/>
      <c r="F1802" s="9"/>
      <c r="G1802" s="11">
        <f>IF(OR(A1802="",B1802=""),"",IF(COUNTIFS($A$6:$A$2005,A1802,$B$6:$B$2005,B1802)&gt;1,"DUPLICATE",""))</f>
        <v/>
      </c>
    </row>
    <row r="1803" spans="1:7">
      <c r="A1803" s="9"/>
      <c r="B1803" s="12"/>
      <c r="C1803" s="10"/>
      <c r="D1803" s="10"/>
      <c r="E1803" s="10"/>
      <c r="F1803" s="9"/>
      <c r="G1803" s="11">
        <f>IF(OR(A1803="",B1803=""),"",IF(COUNTIFS($A$6:$A$2005,A1803,$B$6:$B$2005,B1803)&gt;1,"DUPLICATE",""))</f>
        <v/>
      </c>
    </row>
    <row r="1804" spans="1:7">
      <c r="A1804" s="9"/>
      <c r="B1804" s="12"/>
      <c r="C1804" s="10"/>
      <c r="D1804" s="10"/>
      <c r="E1804" s="10"/>
      <c r="F1804" s="9"/>
      <c r="G1804" s="11">
        <f>IF(OR(A1804="",B1804=""),"",IF(COUNTIFS($A$6:$A$2005,A1804,$B$6:$B$2005,B1804)&gt;1,"DUPLICATE",""))</f>
        <v/>
      </c>
    </row>
    <row r="1805" spans="1:7">
      <c r="A1805" s="9"/>
      <c r="B1805" s="12"/>
      <c r="C1805" s="10"/>
      <c r="D1805" s="10"/>
      <c r="E1805" s="10"/>
      <c r="F1805" s="9"/>
      <c r="G1805" s="11">
        <f>IF(OR(A1805="",B1805=""),"",IF(COUNTIFS($A$6:$A$2005,A1805,$B$6:$B$2005,B1805)&gt;1,"DUPLICATE",""))</f>
        <v/>
      </c>
    </row>
    <row r="1806" spans="1:7">
      <c r="A1806" s="9"/>
      <c r="B1806" s="12"/>
      <c r="C1806" s="10"/>
      <c r="D1806" s="10"/>
      <c r="E1806" s="10"/>
      <c r="F1806" s="9"/>
      <c r="G1806" s="11">
        <f>IF(OR(A1806="",B1806=""),"",IF(COUNTIFS($A$6:$A$2005,A1806,$B$6:$B$2005,B1806)&gt;1,"DUPLICATE",""))</f>
        <v/>
      </c>
    </row>
    <row r="1807" spans="1:7">
      <c r="A1807" s="9"/>
      <c r="B1807" s="12"/>
      <c r="C1807" s="10"/>
      <c r="D1807" s="10"/>
      <c r="E1807" s="10"/>
      <c r="F1807" s="9"/>
      <c r="G1807" s="11">
        <f>IF(OR(A1807="",B1807=""),"",IF(COUNTIFS($A$6:$A$2005,A1807,$B$6:$B$2005,B1807)&gt;1,"DUPLICATE",""))</f>
        <v/>
      </c>
    </row>
    <row r="1808" spans="1:7">
      <c r="A1808" s="9"/>
      <c r="B1808" s="12"/>
      <c r="C1808" s="10"/>
      <c r="D1808" s="10"/>
      <c r="E1808" s="10"/>
      <c r="F1808" s="9"/>
      <c r="G1808" s="11">
        <f>IF(OR(A1808="",B1808=""),"",IF(COUNTIFS($A$6:$A$2005,A1808,$B$6:$B$2005,B1808)&gt;1,"DUPLICATE",""))</f>
        <v/>
      </c>
    </row>
    <row r="1809" spans="1:7">
      <c r="A1809" s="9"/>
      <c r="B1809" s="12"/>
      <c r="C1809" s="10"/>
      <c r="D1809" s="10"/>
      <c r="E1809" s="10"/>
      <c r="F1809" s="9"/>
      <c r="G1809" s="11">
        <f>IF(OR(A1809="",B1809=""),"",IF(COUNTIFS($A$6:$A$2005,A1809,$B$6:$B$2005,B1809)&gt;1,"DUPLICATE",""))</f>
        <v/>
      </c>
    </row>
    <row r="1810" spans="1:7">
      <c r="A1810" s="9"/>
      <c r="B1810" s="12"/>
      <c r="C1810" s="10"/>
      <c r="D1810" s="10"/>
      <c r="E1810" s="10"/>
      <c r="F1810" s="9"/>
      <c r="G1810" s="11">
        <f>IF(OR(A1810="",B1810=""),"",IF(COUNTIFS($A$6:$A$2005,A1810,$B$6:$B$2005,B1810)&gt;1,"DUPLICATE",""))</f>
        <v/>
      </c>
    </row>
    <row r="1811" spans="1:7">
      <c r="A1811" s="9"/>
      <c r="B1811" s="12"/>
      <c r="C1811" s="10"/>
      <c r="D1811" s="10"/>
      <c r="E1811" s="10"/>
      <c r="F1811" s="9"/>
      <c r="G1811" s="11">
        <f>IF(OR(A1811="",B1811=""),"",IF(COUNTIFS($A$6:$A$2005,A1811,$B$6:$B$2005,B1811)&gt;1,"DUPLICATE",""))</f>
        <v/>
      </c>
    </row>
    <row r="1812" spans="1:7">
      <c r="A1812" s="9"/>
      <c r="B1812" s="12"/>
      <c r="C1812" s="10"/>
      <c r="D1812" s="10"/>
      <c r="E1812" s="10"/>
      <c r="F1812" s="9"/>
      <c r="G1812" s="11">
        <f>IF(OR(A1812="",B1812=""),"",IF(COUNTIFS($A$6:$A$2005,A1812,$B$6:$B$2005,B1812)&gt;1,"DUPLICATE",""))</f>
        <v/>
      </c>
    </row>
    <row r="1813" spans="1:7">
      <c r="A1813" s="9"/>
      <c r="B1813" s="12"/>
      <c r="C1813" s="10"/>
      <c r="D1813" s="10"/>
      <c r="E1813" s="10"/>
      <c r="F1813" s="9"/>
      <c r="G1813" s="11">
        <f>IF(OR(A1813="",B1813=""),"",IF(COUNTIFS($A$6:$A$2005,A1813,$B$6:$B$2005,B1813)&gt;1,"DUPLICATE",""))</f>
        <v/>
      </c>
    </row>
    <row r="1814" spans="1:7">
      <c r="A1814" s="9"/>
      <c r="B1814" s="12"/>
      <c r="C1814" s="10"/>
      <c r="D1814" s="10"/>
      <c r="E1814" s="10"/>
      <c r="F1814" s="9"/>
      <c r="G1814" s="11">
        <f>IF(OR(A1814="",B1814=""),"",IF(COUNTIFS($A$6:$A$2005,A1814,$B$6:$B$2005,B1814)&gt;1,"DUPLICATE",""))</f>
        <v/>
      </c>
    </row>
    <row r="1815" spans="1:7">
      <c r="A1815" s="9"/>
      <c r="B1815" s="12"/>
      <c r="C1815" s="10"/>
      <c r="D1815" s="10"/>
      <c r="E1815" s="10"/>
      <c r="F1815" s="9"/>
      <c r="G1815" s="11">
        <f>IF(OR(A1815="",B1815=""),"",IF(COUNTIFS($A$6:$A$2005,A1815,$B$6:$B$2005,B1815)&gt;1,"DUPLICATE",""))</f>
        <v/>
      </c>
    </row>
    <row r="1816" spans="1:7">
      <c r="A1816" s="9"/>
      <c r="B1816" s="12"/>
      <c r="C1816" s="10"/>
      <c r="D1816" s="10"/>
      <c r="E1816" s="10"/>
      <c r="F1816" s="9"/>
      <c r="G1816" s="11">
        <f>IF(OR(A1816="",B1816=""),"",IF(COUNTIFS($A$6:$A$2005,A1816,$B$6:$B$2005,B1816)&gt;1,"DUPLICATE",""))</f>
        <v/>
      </c>
    </row>
    <row r="1817" spans="1:7">
      <c r="A1817" s="9"/>
      <c r="B1817" s="12"/>
      <c r="C1817" s="10"/>
      <c r="D1817" s="10"/>
      <c r="E1817" s="10"/>
      <c r="F1817" s="9"/>
      <c r="G1817" s="11">
        <f>IF(OR(A1817="",B1817=""),"",IF(COUNTIFS($A$6:$A$2005,A1817,$B$6:$B$2005,B1817)&gt;1,"DUPLICATE",""))</f>
        <v/>
      </c>
    </row>
    <row r="1818" spans="1:7">
      <c r="A1818" s="9"/>
      <c r="B1818" s="12"/>
      <c r="C1818" s="10"/>
      <c r="D1818" s="10"/>
      <c r="E1818" s="10"/>
      <c r="F1818" s="9"/>
      <c r="G1818" s="11">
        <f>IF(OR(A1818="",B1818=""),"",IF(COUNTIFS($A$6:$A$2005,A1818,$B$6:$B$2005,B1818)&gt;1,"DUPLICATE",""))</f>
        <v/>
      </c>
    </row>
    <row r="1819" spans="1:7">
      <c r="A1819" s="9"/>
      <c r="B1819" s="12"/>
      <c r="C1819" s="10"/>
      <c r="D1819" s="10"/>
      <c r="E1819" s="10"/>
      <c r="F1819" s="9"/>
      <c r="G1819" s="11">
        <f>IF(OR(A1819="",B1819=""),"",IF(COUNTIFS($A$6:$A$2005,A1819,$B$6:$B$2005,B1819)&gt;1,"DUPLICATE",""))</f>
        <v/>
      </c>
    </row>
    <row r="1820" spans="1:7">
      <c r="A1820" s="9"/>
      <c r="B1820" s="12"/>
      <c r="C1820" s="10"/>
      <c r="D1820" s="10"/>
      <c r="E1820" s="10"/>
      <c r="F1820" s="9"/>
      <c r="G1820" s="11">
        <f>IF(OR(A1820="",B1820=""),"",IF(COUNTIFS($A$6:$A$2005,A1820,$B$6:$B$2005,B1820)&gt;1,"DUPLICATE",""))</f>
        <v/>
      </c>
    </row>
    <row r="1821" spans="1:7">
      <c r="A1821" s="9"/>
      <c r="B1821" s="12"/>
      <c r="C1821" s="10"/>
      <c r="D1821" s="10"/>
      <c r="E1821" s="10"/>
      <c r="F1821" s="9"/>
      <c r="G1821" s="11">
        <f>IF(OR(A1821="",B1821=""),"",IF(COUNTIFS($A$6:$A$2005,A1821,$B$6:$B$2005,B1821)&gt;1,"DUPLICATE",""))</f>
        <v/>
      </c>
    </row>
    <row r="1822" spans="1:7">
      <c r="A1822" s="9"/>
      <c r="B1822" s="12"/>
      <c r="C1822" s="10"/>
      <c r="D1822" s="10"/>
      <c r="E1822" s="10"/>
      <c r="F1822" s="9"/>
      <c r="G1822" s="11">
        <f>IF(OR(A1822="",B1822=""),"",IF(COUNTIFS($A$6:$A$2005,A1822,$B$6:$B$2005,B1822)&gt;1,"DUPLICATE",""))</f>
        <v/>
      </c>
    </row>
    <row r="1823" spans="1:7">
      <c r="A1823" s="9"/>
      <c r="B1823" s="12"/>
      <c r="C1823" s="10"/>
      <c r="D1823" s="10"/>
      <c r="E1823" s="10"/>
      <c r="F1823" s="9"/>
      <c r="G1823" s="11">
        <f>IF(OR(A1823="",B1823=""),"",IF(COUNTIFS($A$6:$A$2005,A1823,$B$6:$B$2005,B1823)&gt;1,"DUPLICATE",""))</f>
        <v/>
      </c>
    </row>
    <row r="1824" spans="1:7">
      <c r="A1824" s="9"/>
      <c r="B1824" s="12"/>
      <c r="C1824" s="10"/>
      <c r="D1824" s="10"/>
      <c r="E1824" s="10"/>
      <c r="F1824" s="9"/>
      <c r="G1824" s="11">
        <f>IF(OR(A1824="",B1824=""),"",IF(COUNTIFS($A$6:$A$2005,A1824,$B$6:$B$2005,B1824)&gt;1,"DUPLICATE",""))</f>
        <v/>
      </c>
    </row>
    <row r="1825" spans="1:7">
      <c r="A1825" s="9"/>
      <c r="B1825" s="12"/>
      <c r="C1825" s="10"/>
      <c r="D1825" s="10"/>
      <c r="E1825" s="10"/>
      <c r="F1825" s="9"/>
      <c r="G1825" s="11">
        <f>IF(OR(A1825="",B1825=""),"",IF(COUNTIFS($A$6:$A$2005,A1825,$B$6:$B$2005,B1825)&gt;1,"DUPLICATE",""))</f>
        <v/>
      </c>
    </row>
    <row r="1826" spans="1:7">
      <c r="A1826" s="9"/>
      <c r="B1826" s="12"/>
      <c r="C1826" s="10"/>
      <c r="D1826" s="10"/>
      <c r="E1826" s="10"/>
      <c r="F1826" s="9"/>
      <c r="G1826" s="11">
        <f>IF(OR(A1826="",B1826=""),"",IF(COUNTIFS($A$6:$A$2005,A1826,$B$6:$B$2005,B1826)&gt;1,"DUPLICATE",""))</f>
        <v/>
      </c>
    </row>
    <row r="1827" spans="1:7">
      <c r="A1827" s="9"/>
      <c r="B1827" s="12"/>
      <c r="C1827" s="10"/>
      <c r="D1827" s="10"/>
      <c r="E1827" s="10"/>
      <c r="F1827" s="9"/>
      <c r="G1827" s="11">
        <f>IF(OR(A1827="",B1827=""),"",IF(COUNTIFS($A$6:$A$2005,A1827,$B$6:$B$2005,B1827)&gt;1,"DUPLICATE",""))</f>
        <v/>
      </c>
    </row>
    <row r="1828" spans="1:7">
      <c r="A1828" s="9"/>
      <c r="B1828" s="12"/>
      <c r="C1828" s="10"/>
      <c r="D1828" s="10"/>
      <c r="E1828" s="10"/>
      <c r="F1828" s="9"/>
      <c r="G1828" s="11">
        <f>IF(OR(A1828="",B1828=""),"",IF(COUNTIFS($A$6:$A$2005,A1828,$B$6:$B$2005,B1828)&gt;1,"DUPLICATE",""))</f>
        <v/>
      </c>
    </row>
    <row r="1829" spans="1:7">
      <c r="A1829" s="9"/>
      <c r="B1829" s="12"/>
      <c r="C1829" s="10"/>
      <c r="D1829" s="10"/>
      <c r="E1829" s="10"/>
      <c r="F1829" s="9"/>
      <c r="G1829" s="11">
        <f>IF(OR(A1829="",B1829=""),"",IF(COUNTIFS($A$6:$A$2005,A1829,$B$6:$B$2005,B1829)&gt;1,"DUPLICATE",""))</f>
        <v/>
      </c>
    </row>
    <row r="1830" spans="1:7">
      <c r="A1830" s="9"/>
      <c r="B1830" s="12"/>
      <c r="C1830" s="10"/>
      <c r="D1830" s="10"/>
      <c r="E1830" s="10"/>
      <c r="F1830" s="9"/>
      <c r="G1830" s="11">
        <f>IF(OR(A1830="",B1830=""),"",IF(COUNTIFS($A$6:$A$2005,A1830,$B$6:$B$2005,B1830)&gt;1,"DUPLICATE",""))</f>
        <v/>
      </c>
    </row>
    <row r="1831" spans="1:7">
      <c r="A1831" s="9"/>
      <c r="B1831" s="12"/>
      <c r="C1831" s="10"/>
      <c r="D1831" s="10"/>
      <c r="E1831" s="10"/>
      <c r="F1831" s="9"/>
      <c r="G1831" s="11">
        <f>IF(OR(A1831="",B1831=""),"",IF(COUNTIFS($A$6:$A$2005,A1831,$B$6:$B$2005,B1831)&gt;1,"DUPLICATE",""))</f>
        <v/>
      </c>
    </row>
    <row r="1832" spans="1:7">
      <c r="A1832" s="9"/>
      <c r="B1832" s="12"/>
      <c r="C1832" s="10"/>
      <c r="D1832" s="10"/>
      <c r="E1832" s="10"/>
      <c r="F1832" s="9"/>
      <c r="G1832" s="11">
        <f>IF(OR(A1832="",B1832=""),"",IF(COUNTIFS($A$6:$A$2005,A1832,$B$6:$B$2005,B1832)&gt;1,"DUPLICATE",""))</f>
        <v/>
      </c>
    </row>
    <row r="1833" spans="1:7">
      <c r="A1833" s="9"/>
      <c r="B1833" s="12"/>
      <c r="C1833" s="10"/>
      <c r="D1833" s="10"/>
      <c r="E1833" s="10"/>
      <c r="F1833" s="9"/>
      <c r="G1833" s="11">
        <f>IF(OR(A1833="",B1833=""),"",IF(COUNTIFS($A$6:$A$2005,A1833,$B$6:$B$2005,B1833)&gt;1,"DUPLICATE",""))</f>
        <v/>
      </c>
    </row>
    <row r="1834" spans="1:7">
      <c r="A1834" s="9"/>
      <c r="B1834" s="12"/>
      <c r="C1834" s="10"/>
      <c r="D1834" s="10"/>
      <c r="E1834" s="10"/>
      <c r="F1834" s="9"/>
      <c r="G1834" s="11">
        <f>IF(OR(A1834="",B1834=""),"",IF(COUNTIFS($A$6:$A$2005,A1834,$B$6:$B$2005,B1834)&gt;1,"DUPLICATE",""))</f>
        <v/>
      </c>
    </row>
    <row r="1835" spans="1:7">
      <c r="A1835" s="9"/>
      <c r="B1835" s="12"/>
      <c r="C1835" s="10"/>
      <c r="D1835" s="10"/>
      <c r="E1835" s="10"/>
      <c r="F1835" s="9"/>
      <c r="G1835" s="11">
        <f>IF(OR(A1835="",B1835=""),"",IF(COUNTIFS($A$6:$A$2005,A1835,$B$6:$B$2005,B1835)&gt;1,"DUPLICATE",""))</f>
        <v/>
      </c>
    </row>
    <row r="1836" spans="1:7">
      <c r="A1836" s="9"/>
      <c r="B1836" s="12"/>
      <c r="C1836" s="10"/>
      <c r="D1836" s="10"/>
      <c r="E1836" s="10"/>
      <c r="F1836" s="9"/>
      <c r="G1836" s="11">
        <f>IF(OR(A1836="",B1836=""),"",IF(COUNTIFS($A$6:$A$2005,A1836,$B$6:$B$2005,B1836)&gt;1,"DUPLICATE",""))</f>
        <v/>
      </c>
    </row>
    <row r="1837" spans="1:7">
      <c r="A1837" s="9"/>
      <c r="B1837" s="12"/>
      <c r="C1837" s="10"/>
      <c r="D1837" s="10"/>
      <c r="E1837" s="10"/>
      <c r="F1837" s="9"/>
      <c r="G1837" s="11">
        <f>IF(OR(A1837="",B1837=""),"",IF(COUNTIFS($A$6:$A$2005,A1837,$B$6:$B$2005,B1837)&gt;1,"DUPLICATE",""))</f>
        <v/>
      </c>
    </row>
    <row r="1838" spans="1:7">
      <c r="A1838" s="9"/>
      <c r="B1838" s="12"/>
      <c r="C1838" s="10"/>
      <c r="D1838" s="10"/>
      <c r="E1838" s="10"/>
      <c r="F1838" s="9"/>
      <c r="G1838" s="11">
        <f>IF(OR(A1838="",B1838=""),"",IF(COUNTIFS($A$6:$A$2005,A1838,$B$6:$B$2005,B1838)&gt;1,"DUPLICATE",""))</f>
        <v/>
      </c>
    </row>
    <row r="1839" spans="1:7">
      <c r="A1839" s="9"/>
      <c r="B1839" s="12"/>
      <c r="C1839" s="10"/>
      <c r="D1839" s="10"/>
      <c r="E1839" s="10"/>
      <c r="F1839" s="9"/>
      <c r="G1839" s="11">
        <f>IF(OR(A1839="",B1839=""),"",IF(COUNTIFS($A$6:$A$2005,A1839,$B$6:$B$2005,B1839)&gt;1,"DUPLICATE",""))</f>
        <v/>
      </c>
    </row>
    <row r="1840" spans="1:7">
      <c r="A1840" s="9"/>
      <c r="B1840" s="12"/>
      <c r="C1840" s="10"/>
      <c r="D1840" s="10"/>
      <c r="E1840" s="10"/>
      <c r="F1840" s="9"/>
      <c r="G1840" s="11">
        <f>IF(OR(A1840="",B1840=""),"",IF(COUNTIFS($A$6:$A$2005,A1840,$B$6:$B$2005,B1840)&gt;1,"DUPLICATE",""))</f>
        <v/>
      </c>
    </row>
    <row r="1841" spans="1:7">
      <c r="A1841" s="9"/>
      <c r="B1841" s="12"/>
      <c r="C1841" s="10"/>
      <c r="D1841" s="10"/>
      <c r="E1841" s="10"/>
      <c r="F1841" s="9"/>
      <c r="G1841" s="11">
        <f>IF(OR(A1841="",B1841=""),"",IF(COUNTIFS($A$6:$A$2005,A1841,$B$6:$B$2005,B1841)&gt;1,"DUPLICATE",""))</f>
        <v/>
      </c>
    </row>
    <row r="1842" spans="1:7">
      <c r="A1842" s="9"/>
      <c r="B1842" s="12"/>
      <c r="C1842" s="10"/>
      <c r="D1842" s="10"/>
      <c r="E1842" s="10"/>
      <c r="F1842" s="9"/>
      <c r="G1842" s="11">
        <f>IF(OR(A1842="",B1842=""),"",IF(COUNTIFS($A$6:$A$2005,A1842,$B$6:$B$2005,B1842)&gt;1,"DUPLICATE",""))</f>
        <v/>
      </c>
    </row>
    <row r="1843" spans="1:7">
      <c r="A1843" s="9"/>
      <c r="B1843" s="12"/>
      <c r="C1843" s="10"/>
      <c r="D1843" s="10"/>
      <c r="E1843" s="10"/>
      <c r="F1843" s="9"/>
      <c r="G1843" s="11">
        <f>IF(OR(A1843="",B1843=""),"",IF(COUNTIFS($A$6:$A$2005,A1843,$B$6:$B$2005,B1843)&gt;1,"DUPLICATE",""))</f>
        <v/>
      </c>
    </row>
    <row r="1844" spans="1:7">
      <c r="A1844" s="9"/>
      <c r="B1844" s="12"/>
      <c r="C1844" s="10"/>
      <c r="D1844" s="10"/>
      <c r="E1844" s="10"/>
      <c r="F1844" s="9"/>
      <c r="G1844" s="11">
        <f>IF(OR(A1844="",B1844=""),"",IF(COUNTIFS($A$6:$A$2005,A1844,$B$6:$B$2005,B1844)&gt;1,"DUPLICATE",""))</f>
        <v/>
      </c>
    </row>
    <row r="1845" spans="1:7">
      <c r="A1845" s="9"/>
      <c r="B1845" s="12"/>
      <c r="C1845" s="10"/>
      <c r="D1845" s="10"/>
      <c r="E1845" s="10"/>
      <c r="F1845" s="9"/>
      <c r="G1845" s="11">
        <f>IF(OR(A1845="",B1845=""),"",IF(COUNTIFS($A$6:$A$2005,A1845,$B$6:$B$2005,B1845)&gt;1,"DUPLICATE",""))</f>
        <v/>
      </c>
    </row>
    <row r="1846" spans="1:7">
      <c r="A1846" s="9"/>
      <c r="B1846" s="12"/>
      <c r="C1846" s="10"/>
      <c r="D1846" s="10"/>
      <c r="E1846" s="10"/>
      <c r="F1846" s="9"/>
      <c r="G1846" s="11">
        <f>IF(OR(A1846="",B1846=""),"",IF(COUNTIFS($A$6:$A$2005,A1846,$B$6:$B$2005,B1846)&gt;1,"DUPLICATE",""))</f>
        <v/>
      </c>
    </row>
    <row r="1847" spans="1:7">
      <c r="A1847" s="9"/>
      <c r="B1847" s="12"/>
      <c r="C1847" s="10"/>
      <c r="D1847" s="10"/>
      <c r="E1847" s="10"/>
      <c r="F1847" s="9"/>
      <c r="G1847" s="11">
        <f>IF(OR(A1847="",B1847=""),"",IF(COUNTIFS($A$6:$A$2005,A1847,$B$6:$B$2005,B1847)&gt;1,"DUPLICATE",""))</f>
        <v/>
      </c>
    </row>
    <row r="1848" spans="1:7">
      <c r="A1848" s="9"/>
      <c r="B1848" s="12"/>
      <c r="C1848" s="10"/>
      <c r="D1848" s="10"/>
      <c r="E1848" s="10"/>
      <c r="F1848" s="9"/>
      <c r="G1848" s="11">
        <f>IF(OR(A1848="",B1848=""),"",IF(COUNTIFS($A$6:$A$2005,A1848,$B$6:$B$2005,B1848)&gt;1,"DUPLICATE",""))</f>
        <v/>
      </c>
    </row>
    <row r="1849" spans="1:7">
      <c r="A1849" s="9"/>
      <c r="B1849" s="12"/>
      <c r="C1849" s="10"/>
      <c r="D1849" s="10"/>
      <c r="E1849" s="10"/>
      <c r="F1849" s="9"/>
      <c r="G1849" s="11">
        <f>IF(OR(A1849="",B1849=""),"",IF(COUNTIFS($A$6:$A$2005,A1849,$B$6:$B$2005,B1849)&gt;1,"DUPLICATE",""))</f>
        <v/>
      </c>
    </row>
    <row r="1850" spans="1:7">
      <c r="A1850" s="9"/>
      <c r="B1850" s="12"/>
      <c r="C1850" s="10"/>
      <c r="D1850" s="10"/>
      <c r="E1850" s="10"/>
      <c r="F1850" s="9"/>
      <c r="G1850" s="11">
        <f>IF(OR(A1850="",B1850=""),"",IF(COUNTIFS($A$6:$A$2005,A1850,$B$6:$B$2005,B1850)&gt;1,"DUPLICATE",""))</f>
        <v/>
      </c>
    </row>
    <row r="1851" spans="1:7">
      <c r="A1851" s="9"/>
      <c r="B1851" s="12"/>
      <c r="C1851" s="10"/>
      <c r="D1851" s="10"/>
      <c r="E1851" s="10"/>
      <c r="F1851" s="9"/>
      <c r="G1851" s="11">
        <f>IF(OR(A1851="",B1851=""),"",IF(COUNTIFS($A$6:$A$2005,A1851,$B$6:$B$2005,B1851)&gt;1,"DUPLICATE",""))</f>
        <v/>
      </c>
    </row>
    <row r="1852" spans="1:7">
      <c r="A1852" s="9"/>
      <c r="B1852" s="12"/>
      <c r="C1852" s="10"/>
      <c r="D1852" s="10"/>
      <c r="E1852" s="10"/>
      <c r="F1852" s="9"/>
      <c r="G1852" s="11">
        <f>IF(OR(A1852="",B1852=""),"",IF(COUNTIFS($A$6:$A$2005,A1852,$B$6:$B$2005,B1852)&gt;1,"DUPLICATE",""))</f>
        <v/>
      </c>
    </row>
    <row r="1853" spans="1:7">
      <c r="A1853" s="9"/>
      <c r="B1853" s="12"/>
      <c r="C1853" s="10"/>
      <c r="D1853" s="10"/>
      <c r="E1853" s="10"/>
      <c r="F1853" s="9"/>
      <c r="G1853" s="11">
        <f>IF(OR(A1853="",B1853=""),"",IF(COUNTIFS($A$6:$A$2005,A1853,$B$6:$B$2005,B1853)&gt;1,"DUPLICATE",""))</f>
        <v/>
      </c>
    </row>
    <row r="1854" spans="1:7">
      <c r="A1854" s="9"/>
      <c r="B1854" s="12"/>
      <c r="C1854" s="10"/>
      <c r="D1854" s="10"/>
      <c r="E1854" s="10"/>
      <c r="F1854" s="9"/>
      <c r="G1854" s="11">
        <f>IF(OR(A1854="",B1854=""),"",IF(COUNTIFS($A$6:$A$2005,A1854,$B$6:$B$2005,B1854)&gt;1,"DUPLICATE",""))</f>
        <v/>
      </c>
    </row>
    <row r="1855" spans="1:7">
      <c r="A1855" s="9"/>
      <c r="B1855" s="12"/>
      <c r="C1855" s="10"/>
      <c r="D1855" s="10"/>
      <c r="E1855" s="10"/>
      <c r="F1855" s="9"/>
      <c r="G1855" s="11">
        <f>IF(OR(A1855="",B1855=""),"",IF(COUNTIFS($A$6:$A$2005,A1855,$B$6:$B$2005,B1855)&gt;1,"DUPLICATE",""))</f>
        <v/>
      </c>
    </row>
    <row r="1856" spans="1:7">
      <c r="A1856" s="9"/>
      <c r="B1856" s="12"/>
      <c r="C1856" s="10"/>
      <c r="D1856" s="10"/>
      <c r="E1856" s="10"/>
      <c r="F1856" s="9"/>
      <c r="G1856" s="11">
        <f>IF(OR(A1856="",B1856=""),"",IF(COUNTIFS($A$6:$A$2005,A1856,$B$6:$B$2005,B1856)&gt;1,"DUPLICATE",""))</f>
        <v/>
      </c>
    </row>
    <row r="1857" spans="1:7">
      <c r="A1857" s="9"/>
      <c r="B1857" s="12"/>
      <c r="C1857" s="10"/>
      <c r="D1857" s="10"/>
      <c r="E1857" s="10"/>
      <c r="F1857" s="9"/>
      <c r="G1857" s="11">
        <f>IF(OR(A1857="",B1857=""),"",IF(COUNTIFS($A$6:$A$2005,A1857,$B$6:$B$2005,B1857)&gt;1,"DUPLICATE",""))</f>
        <v/>
      </c>
    </row>
    <row r="1858" spans="1:7">
      <c r="A1858" s="9"/>
      <c r="B1858" s="12"/>
      <c r="C1858" s="10"/>
      <c r="D1858" s="10"/>
      <c r="E1858" s="10"/>
      <c r="F1858" s="9"/>
      <c r="G1858" s="11">
        <f>IF(OR(A1858="",B1858=""),"",IF(COUNTIFS($A$6:$A$2005,A1858,$B$6:$B$2005,B1858)&gt;1,"DUPLICATE",""))</f>
        <v/>
      </c>
    </row>
    <row r="1859" spans="1:7">
      <c r="A1859" s="9"/>
      <c r="B1859" s="12"/>
      <c r="C1859" s="10"/>
      <c r="D1859" s="10"/>
      <c r="E1859" s="10"/>
      <c r="F1859" s="9"/>
      <c r="G1859" s="11">
        <f>IF(OR(A1859="",B1859=""),"",IF(COUNTIFS($A$6:$A$2005,A1859,$B$6:$B$2005,B1859)&gt;1,"DUPLICATE",""))</f>
        <v/>
      </c>
    </row>
    <row r="1860" spans="1:7">
      <c r="A1860" s="9"/>
      <c r="B1860" s="12"/>
      <c r="C1860" s="10"/>
      <c r="D1860" s="10"/>
      <c r="E1860" s="10"/>
      <c r="F1860" s="9"/>
      <c r="G1860" s="11">
        <f>IF(OR(A1860="",B1860=""),"",IF(COUNTIFS($A$6:$A$2005,A1860,$B$6:$B$2005,B1860)&gt;1,"DUPLICATE",""))</f>
        <v/>
      </c>
    </row>
    <row r="1861" spans="1:7">
      <c r="A1861" s="9"/>
      <c r="B1861" s="12"/>
      <c r="C1861" s="10"/>
      <c r="D1861" s="10"/>
      <c r="E1861" s="10"/>
      <c r="F1861" s="9"/>
      <c r="G1861" s="11">
        <f>IF(OR(A1861="",B1861=""),"",IF(COUNTIFS($A$6:$A$2005,A1861,$B$6:$B$2005,B1861)&gt;1,"DUPLICATE",""))</f>
        <v/>
      </c>
    </row>
    <row r="1862" spans="1:7">
      <c r="A1862" s="9"/>
      <c r="B1862" s="12"/>
      <c r="C1862" s="10"/>
      <c r="D1862" s="10"/>
      <c r="E1862" s="10"/>
      <c r="F1862" s="9"/>
      <c r="G1862" s="11">
        <f>IF(OR(A1862="",B1862=""),"",IF(COUNTIFS($A$6:$A$2005,A1862,$B$6:$B$2005,B1862)&gt;1,"DUPLICATE",""))</f>
        <v/>
      </c>
    </row>
    <row r="1863" spans="1:7">
      <c r="A1863" s="9"/>
      <c r="B1863" s="12"/>
      <c r="C1863" s="10"/>
      <c r="D1863" s="10"/>
      <c r="E1863" s="10"/>
      <c r="F1863" s="9"/>
      <c r="G1863" s="11">
        <f>IF(OR(A1863="",B1863=""),"",IF(COUNTIFS($A$6:$A$2005,A1863,$B$6:$B$2005,B1863)&gt;1,"DUPLICATE",""))</f>
        <v/>
      </c>
    </row>
    <row r="1864" spans="1:7">
      <c r="A1864" s="9"/>
      <c r="B1864" s="12"/>
      <c r="C1864" s="10"/>
      <c r="D1864" s="10"/>
      <c r="E1864" s="10"/>
      <c r="F1864" s="9"/>
      <c r="G1864" s="11">
        <f>IF(OR(A1864="",B1864=""),"",IF(COUNTIFS($A$6:$A$2005,A1864,$B$6:$B$2005,B1864)&gt;1,"DUPLICATE",""))</f>
        <v/>
      </c>
    </row>
    <row r="1865" spans="1:7">
      <c r="A1865" s="9"/>
      <c r="B1865" s="12"/>
      <c r="C1865" s="10"/>
      <c r="D1865" s="10"/>
      <c r="E1865" s="10"/>
      <c r="F1865" s="9"/>
      <c r="G1865" s="11">
        <f>IF(OR(A1865="",B1865=""),"",IF(COUNTIFS($A$6:$A$2005,A1865,$B$6:$B$2005,B1865)&gt;1,"DUPLICATE",""))</f>
        <v/>
      </c>
    </row>
    <row r="1866" spans="1:7">
      <c r="A1866" s="9"/>
      <c r="B1866" s="12"/>
      <c r="C1866" s="10"/>
      <c r="D1866" s="10"/>
      <c r="E1866" s="10"/>
      <c r="F1866" s="9"/>
      <c r="G1866" s="11">
        <f>IF(OR(A1866="",B1866=""),"",IF(COUNTIFS($A$6:$A$2005,A1866,$B$6:$B$2005,B1866)&gt;1,"DUPLICATE",""))</f>
        <v/>
      </c>
    </row>
    <row r="1867" spans="1:7">
      <c r="A1867" s="9"/>
      <c r="B1867" s="12"/>
      <c r="C1867" s="10"/>
      <c r="D1867" s="10"/>
      <c r="E1867" s="10"/>
      <c r="F1867" s="9"/>
      <c r="G1867" s="11">
        <f>IF(OR(A1867="",B1867=""),"",IF(COUNTIFS($A$6:$A$2005,A1867,$B$6:$B$2005,B1867)&gt;1,"DUPLICATE",""))</f>
        <v/>
      </c>
    </row>
    <row r="1868" spans="1:7">
      <c r="A1868" s="9"/>
      <c r="B1868" s="12"/>
      <c r="C1868" s="10"/>
      <c r="D1868" s="10"/>
      <c r="E1868" s="10"/>
      <c r="F1868" s="9"/>
      <c r="G1868" s="11">
        <f>IF(OR(A1868="",B1868=""),"",IF(COUNTIFS($A$6:$A$2005,A1868,$B$6:$B$2005,B1868)&gt;1,"DUPLICATE",""))</f>
        <v/>
      </c>
    </row>
    <row r="1869" spans="1:7">
      <c r="A1869" s="9"/>
      <c r="B1869" s="12"/>
      <c r="C1869" s="10"/>
      <c r="D1869" s="10"/>
      <c r="E1869" s="10"/>
      <c r="F1869" s="9"/>
      <c r="G1869" s="11">
        <f>IF(OR(A1869="",B1869=""),"",IF(COUNTIFS($A$6:$A$2005,A1869,$B$6:$B$2005,B1869)&gt;1,"DUPLICATE",""))</f>
        <v/>
      </c>
    </row>
    <row r="1870" spans="1:7">
      <c r="A1870" s="9"/>
      <c r="B1870" s="12"/>
      <c r="C1870" s="10"/>
      <c r="D1870" s="10"/>
      <c r="E1870" s="10"/>
      <c r="F1870" s="9"/>
      <c r="G1870" s="11">
        <f>IF(OR(A1870="",B1870=""),"",IF(COUNTIFS($A$6:$A$2005,A1870,$B$6:$B$2005,B1870)&gt;1,"DUPLICATE",""))</f>
        <v/>
      </c>
    </row>
    <row r="1871" spans="1:7">
      <c r="A1871" s="9"/>
      <c r="B1871" s="12"/>
      <c r="C1871" s="10"/>
      <c r="D1871" s="10"/>
      <c r="E1871" s="10"/>
      <c r="F1871" s="9"/>
      <c r="G1871" s="11">
        <f>IF(OR(A1871="",B1871=""),"",IF(COUNTIFS($A$6:$A$2005,A1871,$B$6:$B$2005,B1871)&gt;1,"DUPLICATE",""))</f>
        <v/>
      </c>
    </row>
    <row r="1872" spans="1:7">
      <c r="A1872" s="9"/>
      <c r="B1872" s="12"/>
      <c r="C1872" s="10"/>
      <c r="D1872" s="10"/>
      <c r="E1872" s="10"/>
      <c r="F1872" s="9"/>
      <c r="G1872" s="11">
        <f>IF(OR(A1872="",B1872=""),"",IF(COUNTIFS($A$6:$A$2005,A1872,$B$6:$B$2005,B1872)&gt;1,"DUPLICATE",""))</f>
        <v/>
      </c>
    </row>
    <row r="1873" spans="1:7">
      <c r="A1873" s="9"/>
      <c r="B1873" s="12"/>
      <c r="C1873" s="10"/>
      <c r="D1873" s="10"/>
      <c r="E1873" s="10"/>
      <c r="F1873" s="9"/>
      <c r="G1873" s="11">
        <f>IF(OR(A1873="",B1873=""),"",IF(COUNTIFS($A$6:$A$2005,A1873,$B$6:$B$2005,B1873)&gt;1,"DUPLICATE",""))</f>
        <v/>
      </c>
    </row>
    <row r="1874" spans="1:7">
      <c r="A1874" s="9"/>
      <c r="B1874" s="12"/>
      <c r="C1874" s="10"/>
      <c r="D1874" s="10"/>
      <c r="E1874" s="10"/>
      <c r="F1874" s="9"/>
      <c r="G1874" s="11">
        <f>IF(OR(A1874="",B1874=""),"",IF(COUNTIFS($A$6:$A$2005,A1874,$B$6:$B$2005,B1874)&gt;1,"DUPLICATE",""))</f>
        <v/>
      </c>
    </row>
    <row r="1875" spans="1:7">
      <c r="A1875" s="9"/>
      <c r="B1875" s="12"/>
      <c r="C1875" s="10"/>
      <c r="D1875" s="10"/>
      <c r="E1875" s="10"/>
      <c r="F1875" s="9"/>
      <c r="G1875" s="11">
        <f>IF(OR(A1875="",B1875=""),"",IF(COUNTIFS($A$6:$A$2005,A1875,$B$6:$B$2005,B1875)&gt;1,"DUPLICATE",""))</f>
        <v/>
      </c>
    </row>
    <row r="1876" spans="1:7">
      <c r="A1876" s="9"/>
      <c r="B1876" s="12"/>
      <c r="C1876" s="10"/>
      <c r="D1876" s="10"/>
      <c r="E1876" s="10"/>
      <c r="F1876" s="9"/>
      <c r="G1876" s="11">
        <f>IF(OR(A1876="",B1876=""),"",IF(COUNTIFS($A$6:$A$2005,A1876,$B$6:$B$2005,B1876)&gt;1,"DUPLICATE",""))</f>
        <v/>
      </c>
    </row>
    <row r="1877" spans="1:7">
      <c r="A1877" s="9"/>
      <c r="B1877" s="12"/>
      <c r="C1877" s="10"/>
      <c r="D1877" s="10"/>
      <c r="E1877" s="10"/>
      <c r="F1877" s="9"/>
      <c r="G1877" s="11">
        <f>IF(OR(A1877="",B1877=""),"",IF(COUNTIFS($A$6:$A$2005,A1877,$B$6:$B$2005,B1877)&gt;1,"DUPLICATE",""))</f>
        <v/>
      </c>
    </row>
    <row r="1878" spans="1:7">
      <c r="A1878" s="9"/>
      <c r="B1878" s="12"/>
      <c r="C1878" s="10"/>
      <c r="D1878" s="10"/>
      <c r="E1878" s="10"/>
      <c r="F1878" s="9"/>
      <c r="G1878" s="11">
        <f>IF(OR(A1878="",B1878=""),"",IF(COUNTIFS($A$6:$A$2005,A1878,$B$6:$B$2005,B1878)&gt;1,"DUPLICATE",""))</f>
        <v/>
      </c>
    </row>
    <row r="1879" spans="1:7">
      <c r="A1879" s="9"/>
      <c r="B1879" s="12"/>
      <c r="C1879" s="10"/>
      <c r="D1879" s="10"/>
      <c r="E1879" s="10"/>
      <c r="F1879" s="9"/>
      <c r="G1879" s="11">
        <f>IF(OR(A1879="",B1879=""),"",IF(COUNTIFS($A$6:$A$2005,A1879,$B$6:$B$2005,B1879)&gt;1,"DUPLICATE",""))</f>
        <v/>
      </c>
    </row>
    <row r="1880" spans="1:7">
      <c r="A1880" s="9"/>
      <c r="B1880" s="12"/>
      <c r="C1880" s="10"/>
      <c r="D1880" s="10"/>
      <c r="E1880" s="10"/>
      <c r="F1880" s="9"/>
      <c r="G1880" s="11">
        <f>IF(OR(A1880="",B1880=""),"",IF(COUNTIFS($A$6:$A$2005,A1880,$B$6:$B$2005,B1880)&gt;1,"DUPLICATE",""))</f>
        <v/>
      </c>
    </row>
    <row r="1881" spans="1:7">
      <c r="A1881" s="9"/>
      <c r="B1881" s="12"/>
      <c r="C1881" s="10"/>
      <c r="D1881" s="10"/>
      <c r="E1881" s="10"/>
      <c r="F1881" s="9"/>
      <c r="G1881" s="11">
        <f>IF(OR(A1881="",B1881=""),"",IF(COUNTIFS($A$6:$A$2005,A1881,$B$6:$B$2005,B1881)&gt;1,"DUPLICATE",""))</f>
        <v/>
      </c>
    </row>
    <row r="1882" spans="1:7">
      <c r="A1882" s="9"/>
      <c r="B1882" s="12"/>
      <c r="C1882" s="10"/>
      <c r="D1882" s="10"/>
      <c r="E1882" s="10"/>
      <c r="F1882" s="9"/>
      <c r="G1882" s="11">
        <f>IF(OR(A1882="",B1882=""),"",IF(COUNTIFS($A$6:$A$2005,A1882,$B$6:$B$2005,B1882)&gt;1,"DUPLICATE",""))</f>
        <v/>
      </c>
    </row>
    <row r="1883" spans="1:7">
      <c r="A1883" s="9"/>
      <c r="B1883" s="12"/>
      <c r="C1883" s="10"/>
      <c r="D1883" s="10"/>
      <c r="E1883" s="10"/>
      <c r="F1883" s="9"/>
      <c r="G1883" s="11">
        <f>IF(OR(A1883="",B1883=""),"",IF(COUNTIFS($A$6:$A$2005,A1883,$B$6:$B$2005,B1883)&gt;1,"DUPLICATE",""))</f>
        <v/>
      </c>
    </row>
    <row r="1884" spans="1:7">
      <c r="A1884" s="9"/>
      <c r="B1884" s="12"/>
      <c r="C1884" s="10"/>
      <c r="D1884" s="10"/>
      <c r="E1884" s="10"/>
      <c r="F1884" s="9"/>
      <c r="G1884" s="11">
        <f>IF(OR(A1884="",B1884=""),"",IF(COUNTIFS($A$6:$A$2005,A1884,$B$6:$B$2005,B1884)&gt;1,"DUPLICATE",""))</f>
        <v/>
      </c>
    </row>
    <row r="1885" spans="1:7">
      <c r="A1885" s="9"/>
      <c r="B1885" s="12"/>
      <c r="C1885" s="10"/>
      <c r="D1885" s="10"/>
      <c r="E1885" s="10"/>
      <c r="F1885" s="9"/>
      <c r="G1885" s="11">
        <f>IF(OR(A1885="",B1885=""),"",IF(COUNTIFS($A$6:$A$2005,A1885,$B$6:$B$2005,B1885)&gt;1,"DUPLICATE",""))</f>
        <v/>
      </c>
    </row>
    <row r="1886" spans="1:7">
      <c r="A1886" s="9"/>
      <c r="B1886" s="12"/>
      <c r="C1886" s="10"/>
      <c r="D1886" s="10"/>
      <c r="E1886" s="10"/>
      <c r="F1886" s="9"/>
      <c r="G1886" s="11">
        <f>IF(OR(A1886="",B1886=""),"",IF(COUNTIFS($A$6:$A$2005,A1886,$B$6:$B$2005,B1886)&gt;1,"DUPLICATE",""))</f>
        <v/>
      </c>
    </row>
    <row r="1887" spans="1:7">
      <c r="A1887" s="9"/>
      <c r="B1887" s="12"/>
      <c r="C1887" s="10"/>
      <c r="D1887" s="10"/>
      <c r="E1887" s="10"/>
      <c r="F1887" s="9"/>
      <c r="G1887" s="11">
        <f>IF(OR(A1887="",B1887=""),"",IF(COUNTIFS($A$6:$A$2005,A1887,$B$6:$B$2005,B1887)&gt;1,"DUPLICATE",""))</f>
        <v/>
      </c>
    </row>
    <row r="1888" spans="1:7">
      <c r="A1888" s="9"/>
      <c r="B1888" s="12"/>
      <c r="C1888" s="10"/>
      <c r="D1888" s="10"/>
      <c r="E1888" s="10"/>
      <c r="F1888" s="9"/>
      <c r="G1888" s="11">
        <f>IF(OR(A1888="",B1888=""),"",IF(COUNTIFS($A$6:$A$2005,A1888,$B$6:$B$2005,B1888)&gt;1,"DUPLICATE",""))</f>
        <v/>
      </c>
    </row>
    <row r="1889" spans="1:7">
      <c r="A1889" s="9"/>
      <c r="B1889" s="12"/>
      <c r="C1889" s="10"/>
      <c r="D1889" s="10"/>
      <c r="E1889" s="10"/>
      <c r="F1889" s="9"/>
      <c r="G1889" s="11">
        <f>IF(OR(A1889="",B1889=""),"",IF(COUNTIFS($A$6:$A$2005,A1889,$B$6:$B$2005,B1889)&gt;1,"DUPLICATE",""))</f>
        <v/>
      </c>
    </row>
    <row r="1890" spans="1:7">
      <c r="A1890" s="9"/>
      <c r="B1890" s="12"/>
      <c r="C1890" s="10"/>
      <c r="D1890" s="10"/>
      <c r="E1890" s="10"/>
      <c r="F1890" s="9"/>
      <c r="G1890" s="11">
        <f>IF(OR(A1890="",B1890=""),"",IF(COUNTIFS($A$6:$A$2005,A1890,$B$6:$B$2005,B1890)&gt;1,"DUPLICATE",""))</f>
        <v/>
      </c>
    </row>
    <row r="1891" spans="1:7">
      <c r="A1891" s="9"/>
      <c r="B1891" s="12"/>
      <c r="C1891" s="10"/>
      <c r="D1891" s="10"/>
      <c r="E1891" s="10"/>
      <c r="F1891" s="9"/>
      <c r="G1891" s="11">
        <f>IF(OR(A1891="",B1891=""),"",IF(COUNTIFS($A$6:$A$2005,A1891,$B$6:$B$2005,B1891)&gt;1,"DUPLICATE",""))</f>
        <v/>
      </c>
    </row>
    <row r="1892" spans="1:7">
      <c r="A1892" s="9"/>
      <c r="B1892" s="12"/>
      <c r="C1892" s="10"/>
      <c r="D1892" s="10"/>
      <c r="E1892" s="10"/>
      <c r="F1892" s="9"/>
      <c r="G1892" s="11">
        <f>IF(OR(A1892="",B1892=""),"",IF(COUNTIFS($A$6:$A$2005,A1892,$B$6:$B$2005,B1892)&gt;1,"DUPLICATE",""))</f>
        <v/>
      </c>
    </row>
    <row r="1893" spans="1:7">
      <c r="A1893" s="9"/>
      <c r="B1893" s="12"/>
      <c r="C1893" s="10"/>
      <c r="D1893" s="10"/>
      <c r="E1893" s="10"/>
      <c r="F1893" s="9"/>
      <c r="G1893" s="11">
        <f>IF(OR(A1893="",B1893=""),"",IF(COUNTIFS($A$6:$A$2005,A1893,$B$6:$B$2005,B1893)&gt;1,"DUPLICATE",""))</f>
        <v/>
      </c>
    </row>
    <row r="1894" spans="1:7">
      <c r="A1894" s="9"/>
      <c r="B1894" s="12"/>
      <c r="C1894" s="10"/>
      <c r="D1894" s="10"/>
      <c r="E1894" s="10"/>
      <c r="F1894" s="9"/>
      <c r="G1894" s="11">
        <f>IF(OR(A1894="",B1894=""),"",IF(COUNTIFS($A$6:$A$2005,A1894,$B$6:$B$2005,B1894)&gt;1,"DUPLICATE",""))</f>
        <v/>
      </c>
    </row>
    <row r="1895" spans="1:7">
      <c r="A1895" s="9"/>
      <c r="B1895" s="12"/>
      <c r="C1895" s="10"/>
      <c r="D1895" s="10"/>
      <c r="E1895" s="10"/>
      <c r="F1895" s="9"/>
      <c r="G1895" s="11">
        <f>IF(OR(A1895="",B1895=""),"",IF(COUNTIFS($A$6:$A$2005,A1895,$B$6:$B$2005,B1895)&gt;1,"DUPLICATE",""))</f>
        <v/>
      </c>
    </row>
    <row r="1896" spans="1:7">
      <c r="A1896" s="9"/>
      <c r="B1896" s="12"/>
      <c r="C1896" s="10"/>
      <c r="D1896" s="10"/>
      <c r="E1896" s="10"/>
      <c r="F1896" s="9"/>
      <c r="G1896" s="11">
        <f>IF(OR(A1896="",B1896=""),"",IF(COUNTIFS($A$6:$A$2005,A1896,$B$6:$B$2005,B1896)&gt;1,"DUPLICATE",""))</f>
        <v/>
      </c>
    </row>
    <row r="1897" spans="1:7">
      <c r="A1897" s="9"/>
      <c r="B1897" s="12"/>
      <c r="C1897" s="10"/>
      <c r="D1897" s="10"/>
      <c r="E1897" s="10"/>
      <c r="F1897" s="9"/>
      <c r="G1897" s="11">
        <f>IF(OR(A1897="",B1897=""),"",IF(COUNTIFS($A$6:$A$2005,A1897,$B$6:$B$2005,B1897)&gt;1,"DUPLICATE",""))</f>
        <v/>
      </c>
    </row>
    <row r="1898" spans="1:7">
      <c r="A1898" s="9"/>
      <c r="B1898" s="12"/>
      <c r="C1898" s="10"/>
      <c r="D1898" s="10"/>
      <c r="E1898" s="10"/>
      <c r="F1898" s="9"/>
      <c r="G1898" s="11">
        <f>IF(OR(A1898="",B1898=""),"",IF(COUNTIFS($A$6:$A$2005,A1898,$B$6:$B$2005,B1898)&gt;1,"DUPLICATE",""))</f>
        <v/>
      </c>
    </row>
    <row r="1899" spans="1:7">
      <c r="A1899" s="9"/>
      <c r="B1899" s="12"/>
      <c r="C1899" s="10"/>
      <c r="D1899" s="10"/>
      <c r="E1899" s="10"/>
      <c r="F1899" s="9"/>
      <c r="G1899" s="11">
        <f>IF(OR(A1899="",B1899=""),"",IF(COUNTIFS($A$6:$A$2005,A1899,$B$6:$B$2005,B1899)&gt;1,"DUPLICATE",""))</f>
        <v/>
      </c>
    </row>
    <row r="1900" spans="1:7">
      <c r="A1900" s="9"/>
      <c r="B1900" s="12"/>
      <c r="C1900" s="10"/>
      <c r="D1900" s="10"/>
      <c r="E1900" s="10"/>
      <c r="F1900" s="9"/>
      <c r="G1900" s="11">
        <f>IF(OR(A1900="",B1900=""),"",IF(COUNTIFS($A$6:$A$2005,A1900,$B$6:$B$2005,B1900)&gt;1,"DUPLICATE",""))</f>
        <v/>
      </c>
    </row>
    <row r="1901" spans="1:7">
      <c r="A1901" s="9"/>
      <c r="B1901" s="12"/>
      <c r="C1901" s="10"/>
      <c r="D1901" s="10"/>
      <c r="E1901" s="10"/>
      <c r="F1901" s="9"/>
      <c r="G1901" s="11">
        <f>IF(OR(A1901="",B1901=""),"",IF(COUNTIFS($A$6:$A$2005,A1901,$B$6:$B$2005,B1901)&gt;1,"DUPLICATE",""))</f>
        <v/>
      </c>
    </row>
    <row r="1902" spans="1:7">
      <c r="A1902" s="9"/>
      <c r="B1902" s="12"/>
      <c r="C1902" s="10"/>
      <c r="D1902" s="10"/>
      <c r="E1902" s="10"/>
      <c r="F1902" s="9"/>
      <c r="G1902" s="11">
        <f>IF(OR(A1902="",B1902=""),"",IF(COUNTIFS($A$6:$A$2005,A1902,$B$6:$B$2005,B1902)&gt;1,"DUPLICATE",""))</f>
        <v/>
      </c>
    </row>
    <row r="1903" spans="1:7">
      <c r="A1903" s="9"/>
      <c r="B1903" s="12"/>
      <c r="C1903" s="10"/>
      <c r="D1903" s="10"/>
      <c r="E1903" s="10"/>
      <c r="F1903" s="9"/>
      <c r="G1903" s="11">
        <f>IF(OR(A1903="",B1903=""),"",IF(COUNTIFS($A$6:$A$2005,A1903,$B$6:$B$2005,B1903)&gt;1,"DUPLICATE",""))</f>
        <v/>
      </c>
    </row>
    <row r="1904" spans="1:7">
      <c r="A1904" s="9"/>
      <c r="B1904" s="12"/>
      <c r="C1904" s="10"/>
      <c r="D1904" s="10"/>
      <c r="E1904" s="10"/>
      <c r="F1904" s="9"/>
      <c r="G1904" s="11">
        <f>IF(OR(A1904="",B1904=""),"",IF(COUNTIFS($A$6:$A$2005,A1904,$B$6:$B$2005,B1904)&gt;1,"DUPLICATE",""))</f>
        <v/>
      </c>
    </row>
    <row r="1905" spans="1:7">
      <c r="A1905" s="9"/>
      <c r="B1905" s="12"/>
      <c r="C1905" s="10"/>
      <c r="D1905" s="10"/>
      <c r="E1905" s="10"/>
      <c r="F1905" s="9"/>
      <c r="G1905" s="11">
        <f>IF(OR(A1905="",B1905=""),"",IF(COUNTIFS($A$6:$A$2005,A1905,$B$6:$B$2005,B1905)&gt;1,"DUPLICATE",""))</f>
        <v/>
      </c>
    </row>
    <row r="1906" spans="1:7">
      <c r="A1906" s="9"/>
      <c r="B1906" s="12"/>
      <c r="C1906" s="10"/>
      <c r="D1906" s="10"/>
      <c r="E1906" s="10"/>
      <c r="F1906" s="9"/>
      <c r="G1906" s="11">
        <f>IF(OR(A1906="",B1906=""),"",IF(COUNTIFS($A$6:$A$2005,A1906,$B$6:$B$2005,B1906)&gt;1,"DUPLICATE",""))</f>
        <v/>
      </c>
    </row>
    <row r="1907" spans="1:7">
      <c r="A1907" s="9"/>
      <c r="B1907" s="12"/>
      <c r="C1907" s="10"/>
      <c r="D1907" s="10"/>
      <c r="E1907" s="10"/>
      <c r="F1907" s="9"/>
      <c r="G1907" s="11">
        <f>IF(OR(A1907="",B1907=""),"",IF(COUNTIFS($A$6:$A$2005,A1907,$B$6:$B$2005,B1907)&gt;1,"DUPLICATE",""))</f>
        <v/>
      </c>
    </row>
    <row r="1908" spans="1:7">
      <c r="A1908" s="9"/>
      <c r="B1908" s="12"/>
      <c r="C1908" s="10"/>
      <c r="D1908" s="10"/>
      <c r="E1908" s="10"/>
      <c r="F1908" s="9"/>
      <c r="G1908" s="11">
        <f>IF(OR(A1908="",B1908=""),"",IF(COUNTIFS($A$6:$A$2005,A1908,$B$6:$B$2005,B1908)&gt;1,"DUPLICATE",""))</f>
        <v/>
      </c>
    </row>
    <row r="1909" spans="1:7">
      <c r="A1909" s="9"/>
      <c r="B1909" s="12"/>
      <c r="C1909" s="10"/>
      <c r="D1909" s="10"/>
      <c r="E1909" s="10"/>
      <c r="F1909" s="9"/>
      <c r="G1909" s="11">
        <f>IF(OR(A1909="",B1909=""),"",IF(COUNTIFS($A$6:$A$2005,A1909,$B$6:$B$2005,B1909)&gt;1,"DUPLICATE",""))</f>
        <v/>
      </c>
    </row>
    <row r="1910" spans="1:7">
      <c r="A1910" s="9"/>
      <c r="B1910" s="12"/>
      <c r="C1910" s="10"/>
      <c r="D1910" s="10"/>
      <c r="E1910" s="10"/>
      <c r="F1910" s="9"/>
      <c r="G1910" s="11">
        <f>IF(OR(A1910="",B1910=""),"",IF(COUNTIFS($A$6:$A$2005,A1910,$B$6:$B$2005,B1910)&gt;1,"DUPLICATE",""))</f>
        <v/>
      </c>
    </row>
    <row r="1911" spans="1:7">
      <c r="A1911" s="9"/>
      <c r="B1911" s="12"/>
      <c r="C1911" s="10"/>
      <c r="D1911" s="10"/>
      <c r="E1911" s="10"/>
      <c r="F1911" s="9"/>
      <c r="G1911" s="11">
        <f>IF(OR(A1911="",B1911=""),"",IF(COUNTIFS($A$6:$A$2005,A1911,$B$6:$B$2005,B1911)&gt;1,"DUPLICATE",""))</f>
        <v/>
      </c>
    </row>
    <row r="1912" spans="1:7">
      <c r="A1912" s="9"/>
      <c r="B1912" s="12"/>
      <c r="C1912" s="10"/>
      <c r="D1912" s="10"/>
      <c r="E1912" s="10"/>
      <c r="F1912" s="9"/>
      <c r="G1912" s="11">
        <f>IF(OR(A1912="",B1912=""),"",IF(COUNTIFS($A$6:$A$2005,A1912,$B$6:$B$2005,B1912)&gt;1,"DUPLICATE",""))</f>
        <v/>
      </c>
    </row>
    <row r="1913" spans="1:7">
      <c r="A1913" s="9"/>
      <c r="B1913" s="12"/>
      <c r="C1913" s="10"/>
      <c r="D1913" s="10"/>
      <c r="E1913" s="10"/>
      <c r="F1913" s="9"/>
      <c r="G1913" s="11">
        <f>IF(OR(A1913="",B1913=""),"",IF(COUNTIFS($A$6:$A$2005,A1913,$B$6:$B$2005,B1913)&gt;1,"DUPLICATE",""))</f>
        <v/>
      </c>
    </row>
    <row r="1914" spans="1:7">
      <c r="A1914" s="9"/>
      <c r="B1914" s="12"/>
      <c r="C1914" s="10"/>
      <c r="D1914" s="10"/>
      <c r="E1914" s="10"/>
      <c r="F1914" s="9"/>
      <c r="G1914" s="11">
        <f>IF(OR(A1914="",B1914=""),"",IF(COUNTIFS($A$6:$A$2005,A1914,$B$6:$B$2005,B1914)&gt;1,"DUPLICATE",""))</f>
        <v/>
      </c>
    </row>
    <row r="1915" spans="1:7">
      <c r="A1915" s="9"/>
      <c r="B1915" s="12"/>
      <c r="C1915" s="10"/>
      <c r="D1915" s="10"/>
      <c r="E1915" s="10"/>
      <c r="F1915" s="9"/>
      <c r="G1915" s="11">
        <f>IF(OR(A1915="",B1915=""),"",IF(COUNTIFS($A$6:$A$2005,A1915,$B$6:$B$2005,B1915)&gt;1,"DUPLICATE",""))</f>
        <v/>
      </c>
    </row>
    <row r="1916" spans="1:7">
      <c r="A1916" s="9"/>
      <c r="B1916" s="12"/>
      <c r="C1916" s="10"/>
      <c r="D1916" s="10"/>
      <c r="E1916" s="10"/>
      <c r="F1916" s="9"/>
      <c r="G1916" s="11">
        <f>IF(OR(A1916="",B1916=""),"",IF(COUNTIFS($A$6:$A$2005,A1916,$B$6:$B$2005,B1916)&gt;1,"DUPLICATE",""))</f>
        <v/>
      </c>
    </row>
    <row r="1917" spans="1:7">
      <c r="A1917" s="9"/>
      <c r="B1917" s="12"/>
      <c r="C1917" s="10"/>
      <c r="D1917" s="10"/>
      <c r="E1917" s="10"/>
      <c r="F1917" s="9"/>
      <c r="G1917" s="11">
        <f>IF(OR(A1917="",B1917=""),"",IF(COUNTIFS($A$6:$A$2005,A1917,$B$6:$B$2005,B1917)&gt;1,"DUPLICATE",""))</f>
        <v/>
      </c>
    </row>
    <row r="1918" spans="1:7">
      <c r="A1918" s="9"/>
      <c r="B1918" s="12"/>
      <c r="C1918" s="10"/>
      <c r="D1918" s="10"/>
      <c r="E1918" s="10"/>
      <c r="F1918" s="9"/>
      <c r="G1918" s="11">
        <f>IF(OR(A1918="",B1918=""),"",IF(COUNTIFS($A$6:$A$2005,A1918,$B$6:$B$2005,B1918)&gt;1,"DUPLICATE",""))</f>
        <v/>
      </c>
    </row>
    <row r="1919" spans="1:7">
      <c r="A1919" s="9"/>
      <c r="B1919" s="12"/>
      <c r="C1919" s="10"/>
      <c r="D1919" s="10"/>
      <c r="E1919" s="10"/>
      <c r="F1919" s="9"/>
      <c r="G1919" s="11">
        <f>IF(OR(A1919="",B1919=""),"",IF(COUNTIFS($A$6:$A$2005,A1919,$B$6:$B$2005,B1919)&gt;1,"DUPLICATE",""))</f>
        <v/>
      </c>
    </row>
    <row r="1920" spans="1:7">
      <c r="A1920" s="9"/>
      <c r="B1920" s="12"/>
      <c r="C1920" s="10"/>
      <c r="D1920" s="10"/>
      <c r="E1920" s="10"/>
      <c r="F1920" s="9"/>
      <c r="G1920" s="11">
        <f>IF(OR(A1920="",B1920=""),"",IF(COUNTIFS($A$6:$A$2005,A1920,$B$6:$B$2005,B1920)&gt;1,"DUPLICATE",""))</f>
        <v/>
      </c>
    </row>
    <row r="1921" spans="1:7">
      <c r="A1921" s="9"/>
      <c r="B1921" s="12"/>
      <c r="C1921" s="10"/>
      <c r="D1921" s="10"/>
      <c r="E1921" s="10"/>
      <c r="F1921" s="9"/>
      <c r="G1921" s="11">
        <f>IF(OR(A1921="",B1921=""),"",IF(COUNTIFS($A$6:$A$2005,A1921,$B$6:$B$2005,B1921)&gt;1,"DUPLICATE",""))</f>
        <v/>
      </c>
    </row>
    <row r="1922" spans="1:7">
      <c r="A1922" s="9"/>
      <c r="B1922" s="12"/>
      <c r="C1922" s="10"/>
      <c r="D1922" s="10"/>
      <c r="E1922" s="10"/>
      <c r="F1922" s="9"/>
      <c r="G1922" s="11">
        <f>IF(OR(A1922="",B1922=""),"",IF(COUNTIFS($A$6:$A$2005,A1922,$B$6:$B$2005,B1922)&gt;1,"DUPLICATE",""))</f>
        <v/>
      </c>
    </row>
    <row r="1923" spans="1:7">
      <c r="A1923" s="9"/>
      <c r="B1923" s="12"/>
      <c r="C1923" s="10"/>
      <c r="D1923" s="10"/>
      <c r="E1923" s="10"/>
      <c r="F1923" s="9"/>
      <c r="G1923" s="11">
        <f>IF(OR(A1923="",B1923=""),"",IF(COUNTIFS($A$6:$A$2005,A1923,$B$6:$B$2005,B1923)&gt;1,"DUPLICATE",""))</f>
        <v/>
      </c>
    </row>
    <row r="1924" spans="1:7">
      <c r="A1924" s="9"/>
      <c r="B1924" s="12"/>
      <c r="C1924" s="10"/>
      <c r="D1924" s="10"/>
      <c r="E1924" s="10"/>
      <c r="F1924" s="9"/>
      <c r="G1924" s="11">
        <f>IF(OR(A1924="",B1924=""),"",IF(COUNTIFS($A$6:$A$2005,A1924,$B$6:$B$2005,B1924)&gt;1,"DUPLICATE",""))</f>
        <v/>
      </c>
    </row>
    <row r="1925" spans="1:7">
      <c r="A1925" s="9"/>
      <c r="B1925" s="12"/>
      <c r="C1925" s="10"/>
      <c r="D1925" s="10"/>
      <c r="E1925" s="10"/>
      <c r="F1925" s="9"/>
      <c r="G1925" s="11">
        <f>IF(OR(A1925="",B1925=""),"",IF(COUNTIFS($A$6:$A$2005,A1925,$B$6:$B$2005,B1925)&gt;1,"DUPLICATE",""))</f>
        <v/>
      </c>
    </row>
    <row r="1926" spans="1:7">
      <c r="A1926" s="9"/>
      <c r="B1926" s="12"/>
      <c r="C1926" s="10"/>
      <c r="D1926" s="10"/>
      <c r="E1926" s="10"/>
      <c r="F1926" s="9"/>
      <c r="G1926" s="11">
        <f>IF(OR(A1926="",B1926=""),"",IF(COUNTIFS($A$6:$A$2005,A1926,$B$6:$B$2005,B1926)&gt;1,"DUPLICATE",""))</f>
        <v/>
      </c>
    </row>
    <row r="1927" spans="1:7">
      <c r="A1927" s="9"/>
      <c r="B1927" s="12"/>
      <c r="C1927" s="10"/>
      <c r="D1927" s="10"/>
      <c r="E1927" s="10"/>
      <c r="F1927" s="9"/>
      <c r="G1927" s="11">
        <f>IF(OR(A1927="",B1927=""),"",IF(COUNTIFS($A$6:$A$2005,A1927,$B$6:$B$2005,B1927)&gt;1,"DUPLICATE",""))</f>
        <v/>
      </c>
    </row>
    <row r="1928" spans="1:7">
      <c r="A1928" s="9"/>
      <c r="B1928" s="12"/>
      <c r="C1928" s="10"/>
      <c r="D1928" s="10"/>
      <c r="E1928" s="10"/>
      <c r="F1928" s="9"/>
      <c r="G1928" s="11">
        <f>IF(OR(A1928="",B1928=""),"",IF(COUNTIFS($A$6:$A$2005,A1928,$B$6:$B$2005,B1928)&gt;1,"DUPLICATE",""))</f>
        <v/>
      </c>
    </row>
    <row r="1929" spans="1:7">
      <c r="A1929" s="9"/>
      <c r="B1929" s="12"/>
      <c r="C1929" s="10"/>
      <c r="D1929" s="10"/>
      <c r="E1929" s="10"/>
      <c r="F1929" s="9"/>
      <c r="G1929" s="11">
        <f>IF(OR(A1929="",B1929=""),"",IF(COUNTIFS($A$6:$A$2005,A1929,$B$6:$B$2005,B1929)&gt;1,"DUPLICATE",""))</f>
        <v/>
      </c>
    </row>
    <row r="1930" spans="1:7">
      <c r="A1930" s="9"/>
      <c r="B1930" s="12"/>
      <c r="C1930" s="10"/>
      <c r="D1930" s="10"/>
      <c r="E1930" s="10"/>
      <c r="F1930" s="9"/>
      <c r="G1930" s="11">
        <f>IF(OR(A1930="",B1930=""),"",IF(COUNTIFS($A$6:$A$2005,A1930,$B$6:$B$2005,B1930)&gt;1,"DUPLICATE",""))</f>
        <v/>
      </c>
    </row>
    <row r="1931" spans="1:7">
      <c r="A1931" s="9"/>
      <c r="B1931" s="12"/>
      <c r="C1931" s="10"/>
      <c r="D1931" s="10"/>
      <c r="E1931" s="10"/>
      <c r="F1931" s="9"/>
      <c r="G1931" s="11">
        <f>IF(OR(A1931="",B1931=""),"",IF(COUNTIFS($A$6:$A$2005,A1931,$B$6:$B$2005,B1931)&gt;1,"DUPLICATE",""))</f>
        <v/>
      </c>
    </row>
    <row r="1932" spans="1:7">
      <c r="A1932" s="9"/>
      <c r="B1932" s="12"/>
      <c r="C1932" s="10"/>
      <c r="D1932" s="10"/>
      <c r="E1932" s="10"/>
      <c r="F1932" s="9"/>
      <c r="G1932" s="11">
        <f>IF(OR(A1932="",B1932=""),"",IF(COUNTIFS($A$6:$A$2005,A1932,$B$6:$B$2005,B1932)&gt;1,"DUPLICATE",""))</f>
        <v/>
      </c>
    </row>
    <row r="1933" spans="1:7">
      <c r="A1933" s="9"/>
      <c r="B1933" s="12"/>
      <c r="C1933" s="10"/>
      <c r="D1933" s="10"/>
      <c r="E1933" s="10"/>
      <c r="F1933" s="9"/>
      <c r="G1933" s="11">
        <f>IF(OR(A1933="",B1933=""),"",IF(COUNTIFS($A$6:$A$2005,A1933,$B$6:$B$2005,B1933)&gt;1,"DUPLICATE",""))</f>
        <v/>
      </c>
    </row>
    <row r="1934" spans="1:7">
      <c r="A1934" s="9"/>
      <c r="B1934" s="12"/>
      <c r="C1934" s="10"/>
      <c r="D1934" s="10"/>
      <c r="E1934" s="10"/>
      <c r="F1934" s="9"/>
      <c r="G1934" s="11">
        <f>IF(OR(A1934="",B1934=""),"",IF(COUNTIFS($A$6:$A$2005,A1934,$B$6:$B$2005,B1934)&gt;1,"DUPLICATE",""))</f>
        <v/>
      </c>
    </row>
    <row r="1935" spans="1:7">
      <c r="A1935" s="9"/>
      <c r="B1935" s="12"/>
      <c r="C1935" s="10"/>
      <c r="D1935" s="10"/>
      <c r="E1935" s="10"/>
      <c r="F1935" s="9"/>
      <c r="G1935" s="11">
        <f>IF(OR(A1935="",B1935=""),"",IF(COUNTIFS($A$6:$A$2005,A1935,$B$6:$B$2005,B1935)&gt;1,"DUPLICATE",""))</f>
        <v/>
      </c>
    </row>
    <row r="1936" spans="1:7">
      <c r="A1936" s="9"/>
      <c r="B1936" s="12"/>
      <c r="C1936" s="10"/>
      <c r="D1936" s="10"/>
      <c r="E1936" s="10"/>
      <c r="F1936" s="9"/>
      <c r="G1936" s="11">
        <f>IF(OR(A1936="",B1936=""),"",IF(COUNTIFS($A$6:$A$2005,A1936,$B$6:$B$2005,B1936)&gt;1,"DUPLICATE",""))</f>
        <v/>
      </c>
    </row>
    <row r="1937" spans="1:7">
      <c r="A1937" s="9"/>
      <c r="B1937" s="12"/>
      <c r="C1937" s="10"/>
      <c r="D1937" s="10"/>
      <c r="E1937" s="10"/>
      <c r="F1937" s="9"/>
      <c r="G1937" s="11">
        <f>IF(OR(A1937="",B1937=""),"",IF(COUNTIFS($A$6:$A$2005,A1937,$B$6:$B$2005,B1937)&gt;1,"DUPLICATE",""))</f>
        <v/>
      </c>
    </row>
    <row r="1938" spans="1:7">
      <c r="A1938" s="9"/>
      <c r="B1938" s="12"/>
      <c r="C1938" s="10"/>
      <c r="D1938" s="10"/>
      <c r="E1938" s="10"/>
      <c r="F1938" s="9"/>
      <c r="G1938" s="11">
        <f>IF(OR(A1938="",B1938=""),"",IF(COUNTIFS($A$6:$A$2005,A1938,$B$6:$B$2005,B1938)&gt;1,"DUPLICATE",""))</f>
        <v/>
      </c>
    </row>
    <row r="1939" spans="1:7">
      <c r="A1939" s="9"/>
      <c r="B1939" s="12"/>
      <c r="C1939" s="10"/>
      <c r="D1939" s="10"/>
      <c r="E1939" s="10"/>
      <c r="F1939" s="9"/>
      <c r="G1939" s="11">
        <f>IF(OR(A1939="",B1939=""),"",IF(COUNTIFS($A$6:$A$2005,A1939,$B$6:$B$2005,B1939)&gt;1,"DUPLICATE",""))</f>
        <v/>
      </c>
    </row>
    <row r="1940" spans="1:7">
      <c r="A1940" s="9"/>
      <c r="B1940" s="12"/>
      <c r="C1940" s="10"/>
      <c r="D1940" s="10"/>
      <c r="E1940" s="10"/>
      <c r="F1940" s="9"/>
      <c r="G1940" s="11">
        <f>IF(OR(A1940="",B1940=""),"",IF(COUNTIFS($A$6:$A$2005,A1940,$B$6:$B$2005,B1940)&gt;1,"DUPLICATE",""))</f>
        <v/>
      </c>
    </row>
    <row r="1941" spans="1:7">
      <c r="A1941" s="9"/>
      <c r="B1941" s="12"/>
      <c r="C1941" s="10"/>
      <c r="D1941" s="10"/>
      <c r="E1941" s="10"/>
      <c r="F1941" s="9"/>
      <c r="G1941" s="11">
        <f>IF(OR(A1941="",B1941=""),"",IF(COUNTIFS($A$6:$A$2005,A1941,$B$6:$B$2005,B1941)&gt;1,"DUPLICATE",""))</f>
        <v/>
      </c>
    </row>
    <row r="1942" spans="1:7">
      <c r="A1942" s="9"/>
      <c r="B1942" s="12"/>
      <c r="C1942" s="10"/>
      <c r="D1942" s="10"/>
      <c r="E1942" s="10"/>
      <c r="F1942" s="9"/>
      <c r="G1942" s="11">
        <f>IF(OR(A1942="",B1942=""),"",IF(COUNTIFS($A$6:$A$2005,A1942,$B$6:$B$2005,B1942)&gt;1,"DUPLICATE",""))</f>
        <v/>
      </c>
    </row>
    <row r="1943" spans="1:7">
      <c r="A1943" s="9"/>
      <c r="B1943" s="12"/>
      <c r="C1943" s="10"/>
      <c r="D1943" s="10"/>
      <c r="E1943" s="10"/>
      <c r="F1943" s="9"/>
      <c r="G1943" s="11">
        <f>IF(OR(A1943="",B1943=""),"",IF(COUNTIFS($A$6:$A$2005,A1943,$B$6:$B$2005,B1943)&gt;1,"DUPLICATE",""))</f>
        <v/>
      </c>
    </row>
    <row r="1944" spans="1:7">
      <c r="A1944" s="9"/>
      <c r="B1944" s="12"/>
      <c r="C1944" s="10"/>
      <c r="D1944" s="10"/>
      <c r="E1944" s="10"/>
      <c r="F1944" s="9"/>
      <c r="G1944" s="11">
        <f>IF(OR(A1944="",B1944=""),"",IF(COUNTIFS($A$6:$A$2005,A1944,$B$6:$B$2005,B1944)&gt;1,"DUPLICATE",""))</f>
        <v/>
      </c>
    </row>
    <row r="1945" spans="1:7">
      <c r="A1945" s="9"/>
      <c r="B1945" s="12"/>
      <c r="C1945" s="10"/>
      <c r="D1945" s="10"/>
      <c r="E1945" s="10"/>
      <c r="F1945" s="9"/>
      <c r="G1945" s="11">
        <f>IF(OR(A1945="",B1945=""),"",IF(COUNTIFS($A$6:$A$2005,A1945,$B$6:$B$2005,B1945)&gt;1,"DUPLICATE",""))</f>
        <v/>
      </c>
    </row>
    <row r="1946" spans="1:7">
      <c r="A1946" s="9"/>
      <c r="B1946" s="12"/>
      <c r="C1946" s="10"/>
      <c r="D1946" s="10"/>
      <c r="E1946" s="10"/>
      <c r="F1946" s="9"/>
      <c r="G1946" s="11">
        <f>IF(OR(A1946="",B1946=""),"",IF(COUNTIFS($A$6:$A$2005,A1946,$B$6:$B$2005,B1946)&gt;1,"DUPLICATE",""))</f>
        <v/>
      </c>
    </row>
    <row r="1947" spans="1:7">
      <c r="A1947" s="9"/>
      <c r="B1947" s="12"/>
      <c r="C1947" s="10"/>
      <c r="D1947" s="10"/>
      <c r="E1947" s="10"/>
      <c r="F1947" s="9"/>
      <c r="G1947" s="11">
        <f>IF(OR(A1947="",B1947=""),"",IF(COUNTIFS($A$6:$A$2005,A1947,$B$6:$B$2005,B1947)&gt;1,"DUPLICATE",""))</f>
        <v/>
      </c>
    </row>
    <row r="1948" spans="1:7">
      <c r="A1948" s="9"/>
      <c r="B1948" s="12"/>
      <c r="C1948" s="10"/>
      <c r="D1948" s="10"/>
      <c r="E1948" s="10"/>
      <c r="F1948" s="9"/>
      <c r="G1948" s="11">
        <f>IF(OR(A1948="",B1948=""),"",IF(COUNTIFS($A$6:$A$2005,A1948,$B$6:$B$2005,B1948)&gt;1,"DUPLICATE",""))</f>
        <v/>
      </c>
    </row>
    <row r="1949" spans="1:7">
      <c r="A1949" s="9"/>
      <c r="B1949" s="12"/>
      <c r="C1949" s="10"/>
      <c r="D1949" s="10"/>
      <c r="E1949" s="10"/>
      <c r="F1949" s="9"/>
      <c r="G1949" s="11">
        <f>IF(OR(A1949="",B1949=""),"",IF(COUNTIFS($A$6:$A$2005,A1949,$B$6:$B$2005,B1949)&gt;1,"DUPLICATE",""))</f>
        <v/>
      </c>
    </row>
    <row r="1950" spans="1:7">
      <c r="A1950" s="9"/>
      <c r="B1950" s="12"/>
      <c r="C1950" s="10"/>
      <c r="D1950" s="10"/>
      <c r="E1950" s="10"/>
      <c r="F1950" s="9"/>
      <c r="G1950" s="11">
        <f>IF(OR(A1950="",B1950=""),"",IF(COUNTIFS($A$6:$A$2005,A1950,$B$6:$B$2005,B1950)&gt;1,"DUPLICATE",""))</f>
        <v/>
      </c>
    </row>
    <row r="1951" spans="1:7">
      <c r="A1951" s="9"/>
      <c r="B1951" s="12"/>
      <c r="C1951" s="10"/>
      <c r="D1951" s="10"/>
      <c r="E1951" s="10"/>
      <c r="F1951" s="9"/>
      <c r="G1951" s="11">
        <f>IF(OR(A1951="",B1951=""),"",IF(COUNTIFS($A$6:$A$2005,A1951,$B$6:$B$2005,B1951)&gt;1,"DUPLICATE",""))</f>
        <v/>
      </c>
    </row>
    <row r="1952" spans="1:7">
      <c r="A1952" s="9"/>
      <c r="B1952" s="12"/>
      <c r="C1952" s="10"/>
      <c r="D1952" s="10"/>
      <c r="E1952" s="10"/>
      <c r="F1952" s="9"/>
      <c r="G1952" s="11">
        <f>IF(OR(A1952="",B1952=""),"",IF(COUNTIFS($A$6:$A$2005,A1952,$B$6:$B$2005,B1952)&gt;1,"DUPLICATE",""))</f>
        <v/>
      </c>
    </row>
    <row r="1953" spans="1:7">
      <c r="A1953" s="9"/>
      <c r="B1953" s="12"/>
      <c r="C1953" s="10"/>
      <c r="D1953" s="10"/>
      <c r="E1953" s="10"/>
      <c r="F1953" s="9"/>
      <c r="G1953" s="11">
        <f>IF(OR(A1953="",B1953=""),"",IF(COUNTIFS($A$6:$A$2005,A1953,$B$6:$B$2005,B1953)&gt;1,"DUPLICATE",""))</f>
        <v/>
      </c>
    </row>
    <row r="1954" spans="1:7">
      <c r="A1954" s="9"/>
      <c r="B1954" s="12"/>
      <c r="C1954" s="10"/>
      <c r="D1954" s="10"/>
      <c r="E1954" s="10"/>
      <c r="F1954" s="9"/>
      <c r="G1954" s="11">
        <f>IF(OR(A1954="",B1954=""),"",IF(COUNTIFS($A$6:$A$2005,A1954,$B$6:$B$2005,B1954)&gt;1,"DUPLICATE",""))</f>
        <v/>
      </c>
    </row>
    <row r="1955" spans="1:7">
      <c r="A1955" s="9"/>
      <c r="B1955" s="12"/>
      <c r="C1955" s="10"/>
      <c r="D1955" s="10"/>
      <c r="E1955" s="10"/>
      <c r="F1955" s="9"/>
      <c r="G1955" s="11">
        <f>IF(OR(A1955="",B1955=""),"",IF(COUNTIFS($A$6:$A$2005,A1955,$B$6:$B$2005,B1955)&gt;1,"DUPLICATE",""))</f>
        <v/>
      </c>
    </row>
    <row r="1956" spans="1:7">
      <c r="A1956" s="9"/>
      <c r="B1956" s="12"/>
      <c r="C1956" s="10"/>
      <c r="D1956" s="10"/>
      <c r="E1956" s="10"/>
      <c r="F1956" s="9"/>
      <c r="G1956" s="11">
        <f>IF(OR(A1956="",B1956=""),"",IF(COUNTIFS($A$6:$A$2005,A1956,$B$6:$B$2005,B1956)&gt;1,"DUPLICATE",""))</f>
        <v/>
      </c>
    </row>
    <row r="1957" spans="1:7">
      <c r="A1957" s="9"/>
      <c r="B1957" s="12"/>
      <c r="C1957" s="10"/>
      <c r="D1957" s="10"/>
      <c r="E1957" s="10"/>
      <c r="F1957" s="9"/>
      <c r="G1957" s="11">
        <f>IF(OR(A1957="",B1957=""),"",IF(COUNTIFS($A$6:$A$2005,A1957,$B$6:$B$2005,B1957)&gt;1,"DUPLICATE",""))</f>
        <v/>
      </c>
    </row>
    <row r="1958" spans="1:7">
      <c r="A1958" s="9"/>
      <c r="B1958" s="12"/>
      <c r="C1958" s="10"/>
      <c r="D1958" s="10"/>
      <c r="E1958" s="10"/>
      <c r="F1958" s="9"/>
      <c r="G1958" s="11">
        <f>IF(OR(A1958="",B1958=""),"",IF(COUNTIFS($A$6:$A$2005,A1958,$B$6:$B$2005,B1958)&gt;1,"DUPLICATE",""))</f>
        <v/>
      </c>
    </row>
    <row r="1959" spans="1:7">
      <c r="A1959" s="9"/>
      <c r="B1959" s="12"/>
      <c r="C1959" s="10"/>
      <c r="D1959" s="10"/>
      <c r="E1959" s="10"/>
      <c r="F1959" s="9"/>
      <c r="G1959" s="11">
        <f>IF(OR(A1959="",B1959=""),"",IF(COUNTIFS($A$6:$A$2005,A1959,$B$6:$B$2005,B1959)&gt;1,"DUPLICATE",""))</f>
        <v/>
      </c>
    </row>
    <row r="1960" spans="1:7">
      <c r="A1960" s="9"/>
      <c r="B1960" s="12"/>
      <c r="C1960" s="10"/>
      <c r="D1960" s="10"/>
      <c r="E1960" s="10"/>
      <c r="F1960" s="9"/>
      <c r="G1960" s="11">
        <f>IF(OR(A1960="",B1960=""),"",IF(COUNTIFS($A$6:$A$2005,A1960,$B$6:$B$2005,B1960)&gt;1,"DUPLICATE",""))</f>
        <v/>
      </c>
    </row>
    <row r="1961" spans="1:7">
      <c r="A1961" s="9"/>
      <c r="B1961" s="12"/>
      <c r="C1961" s="10"/>
      <c r="D1961" s="10"/>
      <c r="E1961" s="10"/>
      <c r="F1961" s="9"/>
      <c r="G1961" s="11">
        <f>IF(OR(A1961="",B1961=""),"",IF(COUNTIFS($A$6:$A$2005,A1961,$B$6:$B$2005,B1961)&gt;1,"DUPLICATE",""))</f>
        <v/>
      </c>
    </row>
    <row r="1962" spans="1:7">
      <c r="A1962" s="9"/>
      <c r="B1962" s="12"/>
      <c r="C1962" s="10"/>
      <c r="D1962" s="10"/>
      <c r="E1962" s="10"/>
      <c r="F1962" s="9"/>
      <c r="G1962" s="11">
        <f>IF(OR(A1962="",B1962=""),"",IF(COUNTIFS($A$6:$A$2005,A1962,$B$6:$B$2005,B1962)&gt;1,"DUPLICATE",""))</f>
        <v/>
      </c>
    </row>
    <row r="1963" spans="1:7">
      <c r="A1963" s="9"/>
      <c r="B1963" s="12"/>
      <c r="C1963" s="10"/>
      <c r="D1963" s="10"/>
      <c r="E1963" s="10"/>
      <c r="F1963" s="9"/>
      <c r="G1963" s="11">
        <f>IF(OR(A1963="",B1963=""),"",IF(COUNTIFS($A$6:$A$2005,A1963,$B$6:$B$2005,B1963)&gt;1,"DUPLICATE",""))</f>
        <v/>
      </c>
    </row>
    <row r="1964" spans="1:7">
      <c r="A1964" s="9"/>
      <c r="B1964" s="12"/>
      <c r="C1964" s="10"/>
      <c r="D1964" s="10"/>
      <c r="E1964" s="10"/>
      <c r="F1964" s="9"/>
      <c r="G1964" s="11">
        <f>IF(OR(A1964="",B1964=""),"",IF(COUNTIFS($A$6:$A$2005,A1964,$B$6:$B$2005,B1964)&gt;1,"DUPLICATE",""))</f>
        <v/>
      </c>
    </row>
    <row r="1965" spans="1:7">
      <c r="A1965" s="9"/>
      <c r="B1965" s="12"/>
      <c r="C1965" s="10"/>
      <c r="D1965" s="10"/>
      <c r="E1965" s="10"/>
      <c r="F1965" s="9"/>
      <c r="G1965" s="11">
        <f>IF(OR(A1965="",B1965=""),"",IF(COUNTIFS($A$6:$A$2005,A1965,$B$6:$B$2005,B1965)&gt;1,"DUPLICATE",""))</f>
        <v/>
      </c>
    </row>
    <row r="1966" spans="1:7">
      <c r="A1966" s="9"/>
      <c r="B1966" s="12"/>
      <c r="C1966" s="10"/>
      <c r="D1966" s="10"/>
      <c r="E1966" s="10"/>
      <c r="F1966" s="9"/>
      <c r="G1966" s="11">
        <f>IF(OR(A1966="",B1966=""),"",IF(COUNTIFS($A$6:$A$2005,A1966,$B$6:$B$2005,B1966)&gt;1,"DUPLICATE",""))</f>
        <v/>
      </c>
    </row>
    <row r="1967" spans="1:7">
      <c r="A1967" s="9"/>
      <c r="B1967" s="12"/>
      <c r="C1967" s="10"/>
      <c r="D1967" s="10"/>
      <c r="E1967" s="10"/>
      <c r="F1967" s="9"/>
      <c r="G1967" s="11">
        <f>IF(OR(A1967="",B1967=""),"",IF(COUNTIFS($A$6:$A$2005,A1967,$B$6:$B$2005,B1967)&gt;1,"DUPLICATE",""))</f>
        <v/>
      </c>
    </row>
    <row r="1968" spans="1:7">
      <c r="A1968" s="9"/>
      <c r="B1968" s="12"/>
      <c r="C1968" s="10"/>
      <c r="D1968" s="10"/>
      <c r="E1968" s="10"/>
      <c r="F1968" s="9"/>
      <c r="G1968" s="11">
        <f>IF(OR(A1968="",B1968=""),"",IF(COUNTIFS($A$6:$A$2005,A1968,$B$6:$B$2005,B1968)&gt;1,"DUPLICATE",""))</f>
        <v/>
      </c>
    </row>
    <row r="1969" spans="1:7">
      <c r="A1969" s="9"/>
      <c r="B1969" s="12"/>
      <c r="C1969" s="10"/>
      <c r="D1969" s="10"/>
      <c r="E1969" s="10"/>
      <c r="F1969" s="9"/>
      <c r="G1969" s="11">
        <f>IF(OR(A1969="",B1969=""),"",IF(COUNTIFS($A$6:$A$2005,A1969,$B$6:$B$2005,B1969)&gt;1,"DUPLICATE",""))</f>
        <v/>
      </c>
    </row>
    <row r="1970" spans="1:7">
      <c r="A1970" s="9"/>
      <c r="B1970" s="12"/>
      <c r="C1970" s="10"/>
      <c r="D1970" s="10"/>
      <c r="E1970" s="10"/>
      <c r="F1970" s="9"/>
      <c r="G1970" s="11">
        <f>IF(OR(A1970="",B1970=""),"",IF(COUNTIFS($A$6:$A$2005,A1970,$B$6:$B$2005,B1970)&gt;1,"DUPLICATE",""))</f>
        <v/>
      </c>
    </row>
    <row r="1971" spans="1:7">
      <c r="A1971" s="9"/>
      <c r="B1971" s="12"/>
      <c r="C1971" s="10"/>
      <c r="D1971" s="10"/>
      <c r="E1971" s="10"/>
      <c r="F1971" s="9"/>
      <c r="G1971" s="11">
        <f>IF(OR(A1971="",B1971=""),"",IF(COUNTIFS($A$6:$A$2005,A1971,$B$6:$B$2005,B1971)&gt;1,"DUPLICATE",""))</f>
        <v/>
      </c>
    </row>
    <row r="1972" spans="1:7">
      <c r="A1972" s="9"/>
      <c r="B1972" s="12"/>
      <c r="C1972" s="10"/>
      <c r="D1972" s="10"/>
      <c r="E1972" s="10"/>
      <c r="F1972" s="9"/>
      <c r="G1972" s="11">
        <f>IF(OR(A1972="",B1972=""),"",IF(COUNTIFS($A$6:$A$2005,A1972,$B$6:$B$2005,B1972)&gt;1,"DUPLICATE",""))</f>
        <v/>
      </c>
    </row>
    <row r="1973" spans="1:7">
      <c r="A1973" s="9"/>
      <c r="B1973" s="12"/>
      <c r="C1973" s="10"/>
      <c r="D1973" s="10"/>
      <c r="E1973" s="10"/>
      <c r="F1973" s="9"/>
      <c r="G1973" s="11">
        <f>IF(OR(A1973="",B1973=""),"",IF(COUNTIFS($A$6:$A$2005,A1973,$B$6:$B$2005,B1973)&gt;1,"DUPLICATE",""))</f>
        <v/>
      </c>
    </row>
    <row r="1974" spans="1:7">
      <c r="A1974" s="9"/>
      <c r="B1974" s="12"/>
      <c r="C1974" s="10"/>
      <c r="D1974" s="10"/>
      <c r="E1974" s="10"/>
      <c r="F1974" s="9"/>
      <c r="G1974" s="11">
        <f>IF(OR(A1974="",B1974=""),"",IF(COUNTIFS($A$6:$A$2005,A1974,$B$6:$B$2005,B1974)&gt;1,"DUPLICATE",""))</f>
        <v/>
      </c>
    </row>
    <row r="1975" spans="1:7">
      <c r="A1975" s="9"/>
      <c r="B1975" s="12"/>
      <c r="C1975" s="10"/>
      <c r="D1975" s="10"/>
      <c r="E1975" s="10"/>
      <c r="F1975" s="9"/>
      <c r="G1975" s="11">
        <f>IF(OR(A1975="",B1975=""),"",IF(COUNTIFS($A$6:$A$2005,A1975,$B$6:$B$2005,B1975)&gt;1,"DUPLICATE",""))</f>
        <v/>
      </c>
    </row>
    <row r="1976" spans="1:7">
      <c r="A1976" s="9"/>
      <c r="B1976" s="12"/>
      <c r="C1976" s="10"/>
      <c r="D1976" s="10"/>
      <c r="E1976" s="10"/>
      <c r="F1976" s="9"/>
      <c r="G1976" s="11">
        <f>IF(OR(A1976="",B1976=""),"",IF(COUNTIFS($A$6:$A$2005,A1976,$B$6:$B$2005,B1976)&gt;1,"DUPLICATE",""))</f>
        <v/>
      </c>
    </row>
    <row r="1977" spans="1:7">
      <c r="A1977" s="9"/>
      <c r="B1977" s="12"/>
      <c r="C1977" s="10"/>
      <c r="D1977" s="10"/>
      <c r="E1977" s="10"/>
      <c r="F1977" s="9"/>
      <c r="G1977" s="11">
        <f>IF(OR(A1977="",B1977=""),"",IF(COUNTIFS($A$6:$A$2005,A1977,$B$6:$B$2005,B1977)&gt;1,"DUPLICATE",""))</f>
        <v/>
      </c>
    </row>
    <row r="1978" spans="1:7">
      <c r="A1978" s="9"/>
      <c r="B1978" s="12"/>
      <c r="C1978" s="10"/>
      <c r="D1978" s="10"/>
      <c r="E1978" s="10"/>
      <c r="F1978" s="9"/>
      <c r="G1978" s="11">
        <f>IF(OR(A1978="",B1978=""),"",IF(COUNTIFS($A$6:$A$2005,A1978,$B$6:$B$2005,B1978)&gt;1,"DUPLICATE",""))</f>
        <v/>
      </c>
    </row>
    <row r="1979" spans="1:7">
      <c r="A1979" s="9"/>
      <c r="B1979" s="12"/>
      <c r="C1979" s="10"/>
      <c r="D1979" s="10"/>
      <c r="E1979" s="10"/>
      <c r="F1979" s="9"/>
      <c r="G1979" s="11">
        <f>IF(OR(A1979="",B1979=""),"",IF(COUNTIFS($A$6:$A$2005,A1979,$B$6:$B$2005,B1979)&gt;1,"DUPLICATE",""))</f>
        <v/>
      </c>
    </row>
    <row r="1980" spans="1:7">
      <c r="A1980" s="9"/>
      <c r="B1980" s="12"/>
      <c r="C1980" s="10"/>
      <c r="D1980" s="10"/>
      <c r="E1980" s="10"/>
      <c r="F1980" s="9"/>
      <c r="G1980" s="11">
        <f>IF(OR(A1980="",B1980=""),"",IF(COUNTIFS($A$6:$A$2005,A1980,$B$6:$B$2005,B1980)&gt;1,"DUPLICATE",""))</f>
        <v/>
      </c>
    </row>
    <row r="1981" spans="1:7">
      <c r="A1981" s="9"/>
      <c r="B1981" s="12"/>
      <c r="C1981" s="10"/>
      <c r="D1981" s="10"/>
      <c r="E1981" s="10"/>
      <c r="F1981" s="9"/>
      <c r="G1981" s="11">
        <f>IF(OR(A1981="",B1981=""),"",IF(COUNTIFS($A$6:$A$2005,A1981,$B$6:$B$2005,B1981)&gt;1,"DUPLICATE",""))</f>
        <v/>
      </c>
    </row>
    <row r="1982" spans="1:7">
      <c r="A1982" s="9"/>
      <c r="B1982" s="12"/>
      <c r="C1982" s="10"/>
      <c r="D1982" s="10"/>
      <c r="E1982" s="10"/>
      <c r="F1982" s="9"/>
      <c r="G1982" s="11">
        <f>IF(OR(A1982="",B1982=""),"",IF(COUNTIFS($A$6:$A$2005,A1982,$B$6:$B$2005,B1982)&gt;1,"DUPLICATE",""))</f>
        <v/>
      </c>
    </row>
    <row r="1983" spans="1:7">
      <c r="A1983" s="9"/>
      <c r="B1983" s="12"/>
      <c r="C1983" s="10"/>
      <c r="D1983" s="10"/>
      <c r="E1983" s="10"/>
      <c r="F1983" s="9"/>
      <c r="G1983" s="11">
        <f>IF(OR(A1983="",B1983=""),"",IF(COUNTIFS($A$6:$A$2005,A1983,$B$6:$B$2005,B1983)&gt;1,"DUPLICATE",""))</f>
        <v/>
      </c>
    </row>
    <row r="1984" spans="1:7">
      <c r="A1984" s="9"/>
      <c r="B1984" s="12"/>
      <c r="C1984" s="10"/>
      <c r="D1984" s="10"/>
      <c r="E1984" s="10"/>
      <c r="F1984" s="9"/>
      <c r="G1984" s="11">
        <f>IF(OR(A1984="",B1984=""),"",IF(COUNTIFS($A$6:$A$2005,A1984,$B$6:$B$2005,B1984)&gt;1,"DUPLICATE",""))</f>
        <v/>
      </c>
    </row>
    <row r="1985" spans="1:7">
      <c r="A1985" s="9"/>
      <c r="B1985" s="12"/>
      <c r="C1985" s="10"/>
      <c r="D1985" s="10"/>
      <c r="E1985" s="10"/>
      <c r="F1985" s="9"/>
      <c r="G1985" s="11">
        <f>IF(OR(A1985="",B1985=""),"",IF(COUNTIFS($A$6:$A$2005,A1985,$B$6:$B$2005,B1985)&gt;1,"DUPLICATE",""))</f>
        <v/>
      </c>
    </row>
    <row r="1986" spans="1:7">
      <c r="A1986" s="9"/>
      <c r="B1986" s="12"/>
      <c r="C1986" s="10"/>
      <c r="D1986" s="10"/>
      <c r="E1986" s="10"/>
      <c r="F1986" s="9"/>
      <c r="G1986" s="11">
        <f>IF(OR(A1986="",B1986=""),"",IF(COUNTIFS($A$6:$A$2005,A1986,$B$6:$B$2005,B1986)&gt;1,"DUPLICATE",""))</f>
        <v/>
      </c>
    </row>
    <row r="1987" spans="1:7">
      <c r="A1987" s="9"/>
      <c r="B1987" s="12"/>
      <c r="C1987" s="10"/>
      <c r="D1987" s="10"/>
      <c r="E1987" s="10"/>
      <c r="F1987" s="9"/>
      <c r="G1987" s="11">
        <f>IF(OR(A1987="",B1987=""),"",IF(COUNTIFS($A$6:$A$2005,A1987,$B$6:$B$2005,B1987)&gt;1,"DUPLICATE",""))</f>
        <v/>
      </c>
    </row>
    <row r="1988" spans="1:7">
      <c r="A1988" s="9"/>
      <c r="B1988" s="12"/>
      <c r="C1988" s="10"/>
      <c r="D1988" s="10"/>
      <c r="E1988" s="10"/>
      <c r="F1988" s="9"/>
      <c r="G1988" s="11">
        <f>IF(OR(A1988="",B1988=""),"",IF(COUNTIFS($A$6:$A$2005,A1988,$B$6:$B$2005,B1988)&gt;1,"DUPLICATE",""))</f>
        <v/>
      </c>
    </row>
    <row r="1989" spans="1:7">
      <c r="A1989" s="9"/>
      <c r="B1989" s="12"/>
      <c r="C1989" s="10"/>
      <c r="D1989" s="10"/>
      <c r="E1989" s="10"/>
      <c r="F1989" s="9"/>
      <c r="G1989" s="11">
        <f>IF(OR(A1989="",B1989=""),"",IF(COUNTIFS($A$6:$A$2005,A1989,$B$6:$B$2005,B1989)&gt;1,"DUPLICATE",""))</f>
        <v/>
      </c>
    </row>
    <row r="1990" spans="1:7">
      <c r="A1990" s="9"/>
      <c r="B1990" s="12"/>
      <c r="C1990" s="10"/>
      <c r="D1990" s="10"/>
      <c r="E1990" s="10"/>
      <c r="F1990" s="9"/>
      <c r="G1990" s="11">
        <f>IF(OR(A1990="",B1990=""),"",IF(COUNTIFS($A$6:$A$2005,A1990,$B$6:$B$2005,B1990)&gt;1,"DUPLICATE",""))</f>
        <v/>
      </c>
    </row>
    <row r="1991" spans="1:7">
      <c r="A1991" s="9"/>
      <c r="B1991" s="12"/>
      <c r="C1991" s="10"/>
      <c r="D1991" s="10"/>
      <c r="E1991" s="10"/>
      <c r="F1991" s="9"/>
      <c r="G1991" s="11">
        <f>IF(OR(A1991="",B1991=""),"",IF(COUNTIFS($A$6:$A$2005,A1991,$B$6:$B$2005,B1991)&gt;1,"DUPLICATE",""))</f>
        <v/>
      </c>
    </row>
    <row r="1992" spans="1:7">
      <c r="A1992" s="9"/>
      <c r="B1992" s="12"/>
      <c r="C1992" s="10"/>
      <c r="D1992" s="10"/>
      <c r="E1992" s="10"/>
      <c r="F1992" s="9"/>
      <c r="G1992" s="11">
        <f>IF(OR(A1992="",B1992=""),"",IF(COUNTIFS($A$6:$A$2005,A1992,$B$6:$B$2005,B1992)&gt;1,"DUPLICATE",""))</f>
        <v/>
      </c>
    </row>
    <row r="1993" spans="1:7">
      <c r="A1993" s="9"/>
      <c r="B1993" s="12"/>
      <c r="C1993" s="10"/>
      <c r="D1993" s="10"/>
      <c r="E1993" s="10"/>
      <c r="F1993" s="9"/>
      <c r="G1993" s="11">
        <f>IF(OR(A1993="",B1993=""),"",IF(COUNTIFS($A$6:$A$2005,A1993,$B$6:$B$2005,B1993)&gt;1,"DUPLICATE",""))</f>
        <v/>
      </c>
    </row>
    <row r="1994" spans="1:7">
      <c r="A1994" s="9"/>
      <c r="B1994" s="12"/>
      <c r="C1994" s="10"/>
      <c r="D1994" s="10"/>
      <c r="E1994" s="10"/>
      <c r="F1994" s="9"/>
      <c r="G1994" s="11">
        <f>IF(OR(A1994="",B1994=""),"",IF(COUNTIFS($A$6:$A$2005,A1994,$B$6:$B$2005,B1994)&gt;1,"DUPLICATE",""))</f>
        <v/>
      </c>
    </row>
    <row r="1995" spans="1:7">
      <c r="A1995" s="9"/>
      <c r="B1995" s="12"/>
      <c r="C1995" s="10"/>
      <c r="D1995" s="10"/>
      <c r="E1995" s="10"/>
      <c r="F1995" s="9"/>
      <c r="G1995" s="11">
        <f>IF(OR(A1995="",B1995=""),"",IF(COUNTIFS($A$6:$A$2005,A1995,$B$6:$B$2005,B1995)&gt;1,"DUPLICATE",""))</f>
        <v/>
      </c>
    </row>
    <row r="1996" spans="1:7">
      <c r="A1996" s="9"/>
      <c r="B1996" s="12"/>
      <c r="C1996" s="10"/>
      <c r="D1996" s="10"/>
      <c r="E1996" s="10"/>
      <c r="F1996" s="9"/>
      <c r="G1996" s="11">
        <f>IF(OR(A1996="",B1996=""),"",IF(COUNTIFS($A$6:$A$2005,A1996,$B$6:$B$2005,B1996)&gt;1,"DUPLICATE",""))</f>
        <v/>
      </c>
    </row>
    <row r="1997" spans="1:7">
      <c r="A1997" s="9"/>
      <c r="B1997" s="12"/>
      <c r="C1997" s="10"/>
      <c r="D1997" s="10"/>
      <c r="E1997" s="10"/>
      <c r="F1997" s="9"/>
      <c r="G1997" s="11">
        <f>IF(OR(A1997="",B1997=""),"",IF(COUNTIFS($A$6:$A$2005,A1997,$B$6:$B$2005,B1997)&gt;1,"DUPLICATE",""))</f>
        <v/>
      </c>
    </row>
    <row r="1998" spans="1:7">
      <c r="A1998" s="9"/>
      <c r="B1998" s="12"/>
      <c r="C1998" s="10"/>
      <c r="D1998" s="10"/>
      <c r="E1998" s="10"/>
      <c r="F1998" s="9"/>
      <c r="G1998" s="11">
        <f>IF(OR(A1998="",B1998=""),"",IF(COUNTIFS($A$6:$A$2005,A1998,$B$6:$B$2005,B1998)&gt;1,"DUPLICATE",""))</f>
        <v/>
      </c>
    </row>
    <row r="1999" spans="1:7">
      <c r="A1999" s="9"/>
      <c r="B1999" s="12"/>
      <c r="C1999" s="10"/>
      <c r="D1999" s="10"/>
      <c r="E1999" s="10"/>
      <c r="F1999" s="9"/>
      <c r="G1999" s="11">
        <f>IF(OR(A1999="",B1999=""),"",IF(COUNTIFS($A$6:$A$2005,A1999,$B$6:$B$2005,B1999)&gt;1,"DUPLICATE",""))</f>
        <v/>
      </c>
    </row>
    <row r="2000" spans="1:7">
      <c r="A2000" s="9"/>
      <c r="B2000" s="12"/>
      <c r="C2000" s="10"/>
      <c r="D2000" s="10"/>
      <c r="E2000" s="10"/>
      <c r="F2000" s="9"/>
      <c r="G2000" s="11">
        <f>IF(OR(A2000="",B2000=""),"",IF(COUNTIFS($A$6:$A$2005,A2000,$B$6:$B$2005,B2000)&gt;1,"DUPLICATE",""))</f>
        <v/>
      </c>
    </row>
    <row r="2001" spans="1:7">
      <c r="A2001" s="9"/>
      <c r="B2001" s="12"/>
      <c r="C2001" s="10"/>
      <c r="D2001" s="10"/>
      <c r="E2001" s="10"/>
      <c r="F2001" s="9"/>
      <c r="G2001" s="11">
        <f>IF(OR(A2001="",B2001=""),"",IF(COUNTIFS($A$6:$A$2005,A2001,$B$6:$B$2005,B2001)&gt;1,"DUPLICATE",""))</f>
        <v/>
      </c>
    </row>
    <row r="2002" spans="1:7">
      <c r="A2002" s="9"/>
      <c r="B2002" s="12"/>
      <c r="C2002" s="10"/>
      <c r="D2002" s="10"/>
      <c r="E2002" s="10"/>
      <c r="F2002" s="9"/>
      <c r="G2002" s="11">
        <f>IF(OR(A2002="",B2002=""),"",IF(COUNTIFS($A$6:$A$2005,A2002,$B$6:$B$2005,B2002)&gt;1,"DUPLICATE",""))</f>
        <v/>
      </c>
    </row>
    <row r="2003" spans="1:7">
      <c r="A2003" s="9"/>
      <c r="B2003" s="12"/>
      <c r="C2003" s="10"/>
      <c r="D2003" s="10"/>
      <c r="E2003" s="10"/>
      <c r="F2003" s="9"/>
      <c r="G2003" s="11">
        <f>IF(OR(A2003="",B2003=""),"",IF(COUNTIFS($A$6:$A$2005,A2003,$B$6:$B$2005,B2003)&gt;1,"DUPLICATE",""))</f>
        <v/>
      </c>
    </row>
    <row r="2004" spans="1:7">
      <c r="A2004" s="9"/>
      <c r="B2004" s="12"/>
      <c r="C2004" s="10"/>
      <c r="D2004" s="10"/>
      <c r="E2004" s="10"/>
      <c r="F2004" s="9"/>
      <c r="G2004" s="11">
        <f>IF(OR(A2004="",B2004=""),"",IF(COUNTIFS($A$6:$A$2005,A2004,$B$6:$B$2005,B2004)&gt;1,"DUPLICATE",""))</f>
        <v/>
      </c>
    </row>
    <row r="2005" spans="1:7">
      <c r="A2005" s="9"/>
      <c r="B2005" s="12"/>
      <c r="C2005" s="10"/>
      <c r="D2005" s="10"/>
      <c r="E2005" s="10"/>
      <c r="F2005" s="9"/>
      <c r="G2005" s="11">
        <f>IF(OR(A2005="",B2005=""),"",IF(COUNTIFS($A$6:$A$2005,A2005,$B$6:$B$2005,B2005)&gt;1,"DUPLICATE",""))</f>
        <v/>
      </c>
    </row>
  </sheetData>
  <mergeCells count="2">
    <mergeCell ref="A1:G1"/>
    <mergeCell ref="A2:G3"/>
  </mergeCells>
  <conditionalFormatting sqref="G6:G2005">
    <cfRule type="containsText" dxfId="0" priority="1" operator="containsText" text="DUPLICATE">
      <formula>NOT(ISERROR(SEARCH("DUPLICATE",G6)))</formula>
    </cfRule>
  </conditionalFormatting>
  <dataValidations count="5">
    <dataValidation type="list" allowBlank="1" showInputMessage="1" showErrorMessage="1" sqref="A6:A2005">
      <formula1>RunIDs</formula1>
    </dataValidation>
    <dataValidation type="whole" operator="greaterThan" allowBlank="1" showInputMessage="1" showErrorMessage="1" errorTitle="Check this input" error="Use a numeric value in the units shown." promptTitle="Units matter" prompt="Read the header comment or Field Guide." sqref="B6:B2005">
      <formula1>0</formula1>
    </dataValidation>
    <dataValidation type="decimal" operator="greaterThanOrEqual" allowBlank="1" showInputMessage="1" showErrorMessage="1" errorTitle="Check this input" error="Use a numeric value in the units shown." promptTitle="Units matter" prompt="Read the header comment or Field Guide." sqref="C6:C2005">
      <formula1>0</formula1>
    </dataValidation>
    <dataValidation type="decimal" operator="greaterThan" allowBlank="1" showInputMessage="1" showErrorMessage="1" errorTitle="Check this input" error="Use a numeric value in the units shown." promptTitle="Units matter" prompt="Read the header comment or Field Guide." sqref="D6:D2005">
      <formula1>0</formula1>
    </dataValidation>
    <dataValidation type="decimal" operator="greaterThanOrEqual" allowBlank="1" showInputMessage="1" showErrorMessage="1" errorTitle="Check this input" error="Use a numeric value in the units shown." promptTitle="Units matter" prompt="Read the header comment or Field Guide." sqref="E6:E2005">
      <formula1>0</formula1>
    </dataValidation>
  </dataValidations>
  <pageMargins left="0.7" right="0.7" top="0.75" bottom="0.75" header="0.3" footer="0.3"/>
  <pageSetup paperSize="9"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7F7A"/>
    <pageSetUpPr fitToPage="1"/>
  </sheetPr>
  <dimension ref="A1:S205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5.7109375" customWidth="1"/>
    <col min="2" max="2" width="27.7109375" customWidth="1"/>
    <col min="3" max="3" width="25.7109375" customWidth="1"/>
    <col min="4" max="4" width="30.7109375" customWidth="1"/>
    <col min="5" max="6" width="25.7109375" customWidth="1"/>
    <col min="7" max="8" width="26.7109375" customWidth="1"/>
    <col min="9" max="9" width="29.7109375" customWidth="1"/>
    <col min="10" max="10" width="37.7109375" customWidth="1"/>
    <col min="11" max="11" width="25.7109375" customWidth="1"/>
    <col min="12" max="12" width="27.7109375" customWidth="1"/>
    <col min="13" max="13" width="29.7109375" customWidth="1"/>
    <col min="14" max="14" width="55.7109375" customWidth="1"/>
    <col min="15" max="15" width="26.7109375" customWidth="1"/>
    <col min="16" max="16" width="23.7109375" customWidth="1"/>
    <col min="17" max="18" width="26.7109375" customWidth="1"/>
    <col min="19" max="19" width="40.7109375" customWidth="1"/>
  </cols>
  <sheetData>
    <row r="1" spans="1:19" ht="37" customHeight="1">
      <c r="A1" s="1" t="s">
        <v>280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4" customHeight="1">
      <c r="A2" s="2" t="s">
        <v>281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2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5" spans="1:19" ht="48" customHeight="1">
      <c r="A5" s="7" t="s">
        <v>2</v>
      </c>
      <c r="B5" s="7" t="s">
        <v>282</v>
      </c>
      <c r="C5" s="7" t="s">
        <v>283</v>
      </c>
      <c r="D5" s="7" t="s">
        <v>284</v>
      </c>
      <c r="E5" s="7" t="s">
        <v>285</v>
      </c>
      <c r="F5" s="7" t="s">
        <v>286</v>
      </c>
      <c r="G5" s="7" t="s">
        <v>287</v>
      </c>
      <c r="H5" s="7" t="s">
        <v>288</v>
      </c>
      <c r="I5" s="7" t="s">
        <v>289</v>
      </c>
      <c r="J5" s="7" t="s">
        <v>290</v>
      </c>
      <c r="K5" s="7" t="s">
        <v>291</v>
      </c>
      <c r="L5" s="7" t="s">
        <v>292</v>
      </c>
      <c r="M5" s="7" t="s">
        <v>293</v>
      </c>
      <c r="N5" s="7" t="s">
        <v>294</v>
      </c>
      <c r="O5" s="7" t="s">
        <v>295</v>
      </c>
      <c r="P5" s="7" t="s">
        <v>296</v>
      </c>
      <c r="Q5" s="7" t="s">
        <v>297</v>
      </c>
      <c r="R5" s="7" t="s">
        <v>298</v>
      </c>
      <c r="S5" s="7" t="s">
        <v>299</v>
      </c>
    </row>
    <row r="6" spans="1:19" ht="32" customHeight="1">
      <c r="A6" s="8" t="s">
        <v>19</v>
      </c>
      <c r="B6" s="10"/>
      <c r="C6" s="10"/>
      <c r="D6" s="10"/>
      <c r="E6" s="10"/>
      <c r="F6" s="10"/>
      <c r="G6" s="10"/>
      <c r="H6" s="10"/>
      <c r="I6" s="10"/>
      <c r="J6" s="9" t="s">
        <v>300</v>
      </c>
      <c r="K6" s="9" t="s">
        <v>301</v>
      </c>
      <c r="L6" s="10"/>
      <c r="M6" s="9" t="s">
        <v>302</v>
      </c>
      <c r="O6" s="11">
        <f>IF(ISNUMBER(B6),B6*1000,"")</f>
        <v/>
      </c>
      <c r="P6" s="11">
        <f>IF(ISNUMBER(C6),C6*180/PI(),"")</f>
        <v/>
      </c>
      <c r="Q6" s="11">
        <f>IF(ISNUMBER(E6),E6*1000,"")</f>
        <v/>
      </c>
      <c r="R6" s="11">
        <f>IF(ISNUMBER(F6),F6*1000,"")</f>
        <v/>
      </c>
      <c r="S6" s="11" t="str">
        <f>IF(OR(AND(ISNUMBER(G6),G6&lt;0),AND(ISNUMBER(H6),H6&lt;0)),"VIOLATED - later response unreliable",IF(COUNT(G6:H6)=2,"No negative predicted (estimate)","Not entered / incomplete"))</f>
        <v>Not entered / incomplete</v>
      </c>
    </row>
    <row r="7" spans="1:19" ht="32" customHeight="1">
      <c r="A7" s="8" t="s">
        <v>20</v>
      </c>
      <c r="B7" s="10"/>
      <c r="C7" s="10"/>
      <c r="D7" s="10"/>
      <c r="E7" s="10"/>
      <c r="F7" s="10"/>
      <c r="G7" s="10"/>
      <c r="H7" s="10"/>
      <c r="I7" s="10"/>
      <c r="L7" s="10"/>
      <c r="O7" s="11">
        <f>IF(ISNUMBER(B7),B7*1000,"")</f>
        <v/>
      </c>
      <c r="P7" s="11">
        <f>IF(ISNUMBER(C7),C7*180/PI(),"")</f>
        <v/>
      </c>
      <c r="Q7" s="11">
        <f>IF(ISNUMBER(E7),E7*1000,"")</f>
        <v/>
      </c>
      <c r="R7" s="11">
        <f>IF(ISNUMBER(F7),F7*1000,"")</f>
        <v/>
      </c>
      <c r="S7" s="11" t="str">
        <f>IF(OR(AND(ISNUMBER(G7),G7&lt;0),AND(ISNUMBER(H7),H7&lt;0)),"VIOLATED - later response unreliable",IF(COUNT(G7:H7)=2,"No negative predicted (estimate)","Not entered / incomplete"))</f>
        <v>Not entered / incomplete</v>
      </c>
    </row>
    <row r="8" spans="1:19" ht="32" customHeight="1">
      <c r="A8" s="8" t="s">
        <v>21</v>
      </c>
      <c r="B8" s="10"/>
      <c r="C8" s="10"/>
      <c r="D8" s="10"/>
      <c r="E8" s="10"/>
      <c r="F8" s="10"/>
      <c r="G8" s="10"/>
      <c r="H8" s="10"/>
      <c r="I8" s="10"/>
      <c r="L8" s="10"/>
      <c r="O8" s="11">
        <f>IF(ISNUMBER(B8),B8*1000,"")</f>
        <v/>
      </c>
      <c r="P8" s="11">
        <f>IF(ISNUMBER(C8),C8*180/PI(),"")</f>
        <v/>
      </c>
      <c r="Q8" s="11">
        <f>IF(ISNUMBER(E8),E8*1000,"")</f>
        <v/>
      </c>
      <c r="R8" s="11">
        <f>IF(ISNUMBER(F8),F8*1000,"")</f>
        <v/>
      </c>
      <c r="S8" s="11" t="str">
        <f>IF(OR(AND(ISNUMBER(G8),G8&lt;0),AND(ISNUMBER(H8),H8&lt;0)),"VIOLATED - later response unreliable",IF(COUNT(G8:H8)=2,"No negative predicted (estimate)","Not entered / incomplete"))</f>
        <v>Not entered / incomplete</v>
      </c>
    </row>
    <row r="9" spans="1:19" ht="32" customHeight="1">
      <c r="A9" s="8" t="s">
        <v>22</v>
      </c>
      <c r="B9" s="10"/>
      <c r="C9" s="10"/>
      <c r="D9" s="10"/>
      <c r="E9" s="10"/>
      <c r="F9" s="10"/>
      <c r="G9" s="10"/>
      <c r="H9" s="10"/>
      <c r="I9" s="10"/>
      <c r="L9" s="10"/>
      <c r="O9" s="11">
        <f>IF(ISNUMBER(B9),B9*1000,"")</f>
        <v/>
      </c>
      <c r="P9" s="11">
        <f>IF(ISNUMBER(C9),C9*180/PI(),"")</f>
        <v/>
      </c>
      <c r="Q9" s="11">
        <f>IF(ISNUMBER(E9),E9*1000,"")</f>
        <v/>
      </c>
      <c r="R9" s="11">
        <f>IF(ISNUMBER(F9),F9*1000,"")</f>
        <v/>
      </c>
      <c r="S9" s="11" t="str">
        <f>IF(OR(AND(ISNUMBER(G9),G9&lt;0),AND(ISNUMBER(H9),H9&lt;0)),"VIOLATED - later response unreliable",IF(COUNT(G9:H9)=2,"No negative predicted (estimate)","Not entered / incomplete"))</f>
        <v>Not entered / incomplete</v>
      </c>
    </row>
    <row r="10" spans="1:19" ht="32" customHeight="1">
      <c r="A10" s="8" t="s">
        <v>23</v>
      </c>
      <c r="B10" s="10"/>
      <c r="C10" s="10"/>
      <c r="D10" s="10"/>
      <c r="E10" s="10"/>
      <c r="F10" s="10"/>
      <c r="G10" s="10"/>
      <c r="H10" s="10"/>
      <c r="I10" s="10"/>
      <c r="L10" s="10"/>
      <c r="O10" s="11">
        <f>IF(ISNUMBER(B10),B10*1000,"")</f>
        <v/>
      </c>
      <c r="P10" s="11">
        <f>IF(ISNUMBER(C10),C10*180/PI(),"")</f>
        <v/>
      </c>
      <c r="Q10" s="11">
        <f>IF(ISNUMBER(E10),E10*1000,"")</f>
        <v/>
      </c>
      <c r="R10" s="11">
        <f>IF(ISNUMBER(F10),F10*1000,"")</f>
        <v/>
      </c>
      <c r="S10" s="11" t="str">
        <f>IF(OR(AND(ISNUMBER(G10),G10&lt;0),AND(ISNUMBER(H10),H10&lt;0)),"VIOLATED - later response unreliable",IF(COUNT(G10:H10)=2,"No negative predicted (estimate)","Not entered / incomplete"))</f>
        <v>Not entered / incomplete</v>
      </c>
    </row>
    <row r="11" spans="1:19" ht="32" customHeight="1">
      <c r="A11" s="8" t="s">
        <v>24</v>
      </c>
      <c r="B11" s="10"/>
      <c r="C11" s="10"/>
      <c r="D11" s="10"/>
      <c r="E11" s="10"/>
      <c r="F11" s="10"/>
      <c r="G11" s="10"/>
      <c r="H11" s="10"/>
      <c r="I11" s="10"/>
      <c r="L11" s="10"/>
      <c r="O11" s="11">
        <f>IF(ISNUMBER(B11),B11*1000,"")</f>
        <v/>
      </c>
      <c r="P11" s="11">
        <f>IF(ISNUMBER(C11),C11*180/PI(),"")</f>
        <v/>
      </c>
      <c r="Q11" s="11">
        <f>IF(ISNUMBER(E11),E11*1000,"")</f>
        <v/>
      </c>
      <c r="R11" s="11">
        <f>IF(ISNUMBER(F11),F11*1000,"")</f>
        <v/>
      </c>
      <c r="S11" s="11" t="str">
        <f>IF(OR(AND(ISNUMBER(G11),G11&lt;0),AND(ISNUMBER(H11),H11&lt;0)),"VIOLATED - later response unreliable",IF(COUNT(G11:H11)=2,"No negative predicted (estimate)","Not entered / incomplete"))</f>
        <v>Not entered / incomplete</v>
      </c>
    </row>
    <row r="12" spans="1:19" ht="32" customHeight="1">
      <c r="A12" s="8" t="s">
        <v>25</v>
      </c>
      <c r="B12" s="10"/>
      <c r="C12" s="10"/>
      <c r="D12" s="10"/>
      <c r="E12" s="10"/>
      <c r="F12" s="10"/>
      <c r="G12" s="10"/>
      <c r="H12" s="10"/>
      <c r="I12" s="10"/>
      <c r="L12" s="10"/>
      <c r="O12" s="11">
        <f>IF(ISNUMBER(B12),B12*1000,"")</f>
        <v/>
      </c>
      <c r="P12" s="11">
        <f>IF(ISNUMBER(C12),C12*180/PI(),"")</f>
        <v/>
      </c>
      <c r="Q12" s="11">
        <f>IF(ISNUMBER(E12),E12*1000,"")</f>
        <v/>
      </c>
      <c r="R12" s="11">
        <f>IF(ISNUMBER(F12),F12*1000,"")</f>
        <v/>
      </c>
      <c r="S12" s="11" t="str">
        <f>IF(OR(AND(ISNUMBER(G12),G12&lt;0),AND(ISNUMBER(H12),H12&lt;0)),"VIOLATED - later response unreliable",IF(COUNT(G12:H12)=2,"No negative predicted (estimate)","Not entered / incomplete"))</f>
        <v>Not entered / incomplete</v>
      </c>
    </row>
    <row r="13" spans="1:19" ht="32" customHeight="1">
      <c r="A13" s="8" t="s">
        <v>26</v>
      </c>
      <c r="B13" s="10"/>
      <c r="C13" s="10"/>
      <c r="D13" s="10"/>
      <c r="E13" s="10"/>
      <c r="F13" s="10"/>
      <c r="G13" s="10"/>
      <c r="H13" s="10"/>
      <c r="I13" s="10"/>
      <c r="L13" s="10"/>
      <c r="O13" s="11">
        <f>IF(ISNUMBER(B13),B13*1000,"")</f>
        <v/>
      </c>
      <c r="P13" s="11">
        <f>IF(ISNUMBER(C13),C13*180/PI(),"")</f>
        <v/>
      </c>
      <c r="Q13" s="11">
        <f>IF(ISNUMBER(E13),E13*1000,"")</f>
        <v/>
      </c>
      <c r="R13" s="11">
        <f>IF(ISNUMBER(F13),F13*1000,"")</f>
        <v/>
      </c>
      <c r="S13" s="11" t="str">
        <f>IF(OR(AND(ISNUMBER(G13),G13&lt;0),AND(ISNUMBER(H13),H13&lt;0)),"VIOLATED - later response unreliable",IF(COUNT(G13:H13)=2,"No negative predicted (estimate)","Not entered / incomplete"))</f>
        <v>Not entered / incomplete</v>
      </c>
    </row>
    <row r="14" spans="1:19" ht="32" customHeight="1">
      <c r="A14" s="8" t="s">
        <v>27</v>
      </c>
      <c r="B14" s="10"/>
      <c r="C14" s="10"/>
      <c r="D14" s="10"/>
      <c r="E14" s="10"/>
      <c r="F14" s="10"/>
      <c r="G14" s="10"/>
      <c r="H14" s="10"/>
      <c r="I14" s="10"/>
      <c r="L14" s="10"/>
      <c r="O14" s="11">
        <f>IF(ISNUMBER(B14),B14*1000,"")</f>
        <v/>
      </c>
      <c r="P14" s="11">
        <f>IF(ISNUMBER(C14),C14*180/PI(),"")</f>
        <v/>
      </c>
      <c r="Q14" s="11">
        <f>IF(ISNUMBER(E14),E14*1000,"")</f>
        <v/>
      </c>
      <c r="R14" s="11">
        <f>IF(ISNUMBER(F14),F14*1000,"")</f>
        <v/>
      </c>
      <c r="S14" s="11" t="str">
        <f>IF(OR(AND(ISNUMBER(G14),G14&lt;0),AND(ISNUMBER(H14),H14&lt;0)),"VIOLATED - later response unreliable",IF(COUNT(G14:H14)=2,"No negative predicted (estimate)","Not entered / incomplete"))</f>
        <v>Not entered / incomplete</v>
      </c>
    </row>
    <row r="15" spans="1:19" ht="32" customHeight="1">
      <c r="A15" s="8" t="s">
        <v>28</v>
      </c>
      <c r="B15" s="10"/>
      <c r="C15" s="10"/>
      <c r="D15" s="10"/>
      <c r="E15" s="10"/>
      <c r="F15" s="10"/>
      <c r="G15" s="10"/>
      <c r="H15" s="10"/>
      <c r="I15" s="10"/>
      <c r="L15" s="10"/>
      <c r="O15" s="11">
        <f>IF(ISNUMBER(B15),B15*1000,"")</f>
        <v/>
      </c>
      <c r="P15" s="11">
        <f>IF(ISNUMBER(C15),C15*180/PI(),"")</f>
        <v/>
      </c>
      <c r="Q15" s="11">
        <f>IF(ISNUMBER(E15),E15*1000,"")</f>
        <v/>
      </c>
      <c r="R15" s="11">
        <f>IF(ISNUMBER(F15),F15*1000,"")</f>
        <v/>
      </c>
      <c r="S15" s="11" t="str">
        <f>IF(OR(AND(ISNUMBER(G15),G15&lt;0),AND(ISNUMBER(H15),H15&lt;0)),"VIOLATED - later response unreliable",IF(COUNT(G15:H15)=2,"No negative predicted (estimate)","Not entered / incomplete"))</f>
        <v>Not entered / incomplete</v>
      </c>
    </row>
    <row r="16" spans="1:19" ht="32" customHeight="1">
      <c r="A16" s="8" t="s">
        <v>29</v>
      </c>
      <c r="B16" s="10"/>
      <c r="C16" s="10"/>
      <c r="D16" s="10"/>
      <c r="E16" s="10"/>
      <c r="F16" s="10"/>
      <c r="G16" s="10"/>
      <c r="H16" s="10"/>
      <c r="I16" s="10"/>
      <c r="L16" s="10"/>
      <c r="O16" s="11">
        <f>IF(ISNUMBER(B16),B16*1000,"")</f>
        <v/>
      </c>
      <c r="P16" s="11">
        <f>IF(ISNUMBER(C16),C16*180/PI(),"")</f>
        <v/>
      </c>
      <c r="Q16" s="11">
        <f>IF(ISNUMBER(E16),E16*1000,"")</f>
        <v/>
      </c>
      <c r="R16" s="11">
        <f>IF(ISNUMBER(F16),F16*1000,"")</f>
        <v/>
      </c>
      <c r="S16" s="11" t="str">
        <f>IF(OR(AND(ISNUMBER(G16),G16&lt;0),AND(ISNUMBER(H16),H16&lt;0)),"VIOLATED - later response unreliable",IF(COUNT(G16:H16)=2,"No negative predicted (estimate)","Not entered / incomplete"))</f>
        <v>Not entered / incomplete</v>
      </c>
    </row>
    <row r="17" spans="1:19" ht="32" customHeight="1">
      <c r="A17" s="8" t="s">
        <v>30</v>
      </c>
      <c r="B17" s="10"/>
      <c r="C17" s="10"/>
      <c r="D17" s="10"/>
      <c r="E17" s="10"/>
      <c r="F17" s="10"/>
      <c r="G17" s="10"/>
      <c r="H17" s="10"/>
      <c r="I17" s="10"/>
      <c r="L17" s="10"/>
      <c r="O17" s="11">
        <f>IF(ISNUMBER(B17),B17*1000,"")</f>
        <v/>
      </c>
      <c r="P17" s="11">
        <f>IF(ISNUMBER(C17),C17*180/PI(),"")</f>
        <v/>
      </c>
      <c r="Q17" s="11">
        <f>IF(ISNUMBER(E17),E17*1000,"")</f>
        <v/>
      </c>
      <c r="R17" s="11">
        <f>IF(ISNUMBER(F17),F17*1000,"")</f>
        <v/>
      </c>
      <c r="S17" s="11" t="str">
        <f>IF(OR(AND(ISNUMBER(G17),G17&lt;0),AND(ISNUMBER(H17),H17&lt;0)),"VIOLATED - later response unreliable",IF(COUNT(G17:H17)=2,"No negative predicted (estimate)","Not entered / incomplete"))</f>
        <v>Not entered / incomplete</v>
      </c>
    </row>
    <row r="18" spans="1:19" ht="32" customHeight="1">
      <c r="A18" s="8" t="s">
        <v>31</v>
      </c>
      <c r="B18" s="10"/>
      <c r="C18" s="10"/>
      <c r="D18" s="10"/>
      <c r="E18" s="10"/>
      <c r="F18" s="10"/>
      <c r="G18" s="10"/>
      <c r="H18" s="10"/>
      <c r="I18" s="10"/>
      <c r="L18" s="10"/>
      <c r="O18" s="11">
        <f>IF(ISNUMBER(B18),B18*1000,"")</f>
        <v/>
      </c>
      <c r="P18" s="11">
        <f>IF(ISNUMBER(C18),C18*180/PI(),"")</f>
        <v/>
      </c>
      <c r="Q18" s="11">
        <f>IF(ISNUMBER(E18),E18*1000,"")</f>
        <v/>
      </c>
      <c r="R18" s="11">
        <f>IF(ISNUMBER(F18),F18*1000,"")</f>
        <v/>
      </c>
      <c r="S18" s="11" t="str">
        <f>IF(OR(AND(ISNUMBER(G18),G18&lt;0),AND(ISNUMBER(H18),H18&lt;0)),"VIOLATED - later response unreliable",IF(COUNT(G18:H18)=2,"No negative predicted (estimate)","Not entered / incomplete"))</f>
        <v>Not entered / incomplete</v>
      </c>
    </row>
    <row r="19" spans="1:19" ht="32" customHeight="1">
      <c r="A19" s="8" t="s">
        <v>32</v>
      </c>
      <c r="B19" s="10"/>
      <c r="C19" s="10"/>
      <c r="D19" s="10"/>
      <c r="E19" s="10"/>
      <c r="F19" s="10"/>
      <c r="G19" s="10"/>
      <c r="H19" s="10"/>
      <c r="I19" s="10"/>
      <c r="L19" s="10"/>
      <c r="O19" s="11">
        <f>IF(ISNUMBER(B19),B19*1000,"")</f>
        <v/>
      </c>
      <c r="P19" s="11">
        <f>IF(ISNUMBER(C19),C19*180/PI(),"")</f>
        <v/>
      </c>
      <c r="Q19" s="11">
        <f>IF(ISNUMBER(E19),E19*1000,"")</f>
        <v/>
      </c>
      <c r="R19" s="11">
        <f>IF(ISNUMBER(F19),F19*1000,"")</f>
        <v/>
      </c>
      <c r="S19" s="11" t="str">
        <f>IF(OR(AND(ISNUMBER(G19),G19&lt;0),AND(ISNUMBER(H19),H19&lt;0)),"VIOLATED - later response unreliable",IF(COUNT(G19:H19)=2,"No negative predicted (estimate)","Not entered / incomplete"))</f>
        <v>Not entered / incomplete</v>
      </c>
    </row>
    <row r="20" spans="1:19" ht="32" customHeight="1">
      <c r="A20" s="8" t="s">
        <v>33</v>
      </c>
      <c r="B20" s="10"/>
      <c r="C20" s="10"/>
      <c r="D20" s="10"/>
      <c r="E20" s="10"/>
      <c r="F20" s="10"/>
      <c r="G20" s="10"/>
      <c r="H20" s="10"/>
      <c r="I20" s="10"/>
      <c r="L20" s="10"/>
      <c r="O20" s="11">
        <f>IF(ISNUMBER(B20),B20*1000,"")</f>
        <v/>
      </c>
      <c r="P20" s="11">
        <f>IF(ISNUMBER(C20),C20*180/PI(),"")</f>
        <v/>
      </c>
      <c r="Q20" s="11">
        <f>IF(ISNUMBER(E20),E20*1000,"")</f>
        <v/>
      </c>
      <c r="R20" s="11">
        <f>IF(ISNUMBER(F20),F20*1000,"")</f>
        <v/>
      </c>
      <c r="S20" s="11" t="str">
        <f>IF(OR(AND(ISNUMBER(G20),G20&lt;0),AND(ISNUMBER(H20),H20&lt;0)),"VIOLATED - later response unreliable",IF(COUNT(G20:H20)=2,"No negative predicted (estimate)","Not entered / incomplete"))</f>
        <v>Not entered / incomplete</v>
      </c>
    </row>
    <row r="21" spans="1:19" ht="32" customHeight="1">
      <c r="A21" s="8" t="s">
        <v>34</v>
      </c>
      <c r="B21" s="10"/>
      <c r="C21" s="10"/>
      <c r="D21" s="10"/>
      <c r="E21" s="10"/>
      <c r="F21" s="10"/>
      <c r="G21" s="10"/>
      <c r="H21" s="10"/>
      <c r="I21" s="10"/>
      <c r="L21" s="10"/>
      <c r="O21" s="11">
        <f>IF(ISNUMBER(B21),B21*1000,"")</f>
        <v/>
      </c>
      <c r="P21" s="11">
        <f>IF(ISNUMBER(C21),C21*180/PI(),"")</f>
        <v/>
      </c>
      <c r="Q21" s="11">
        <f>IF(ISNUMBER(E21),E21*1000,"")</f>
        <v/>
      </c>
      <c r="R21" s="11">
        <f>IF(ISNUMBER(F21),F21*1000,"")</f>
        <v/>
      </c>
      <c r="S21" s="11" t="str">
        <f>IF(OR(AND(ISNUMBER(G21),G21&lt;0),AND(ISNUMBER(H21),H21&lt;0)),"VIOLATED - later response unreliable",IF(COUNT(G21:H21)=2,"No negative predicted (estimate)","Not entered / incomplete"))</f>
        <v>Not entered / incomplete</v>
      </c>
    </row>
    <row r="22" spans="1:19" ht="32" customHeight="1">
      <c r="A22" s="8" t="s">
        <v>35</v>
      </c>
      <c r="B22" s="10"/>
      <c r="C22" s="10"/>
      <c r="D22" s="10"/>
      <c r="E22" s="10"/>
      <c r="F22" s="10"/>
      <c r="G22" s="10"/>
      <c r="H22" s="10"/>
      <c r="I22" s="10"/>
      <c r="L22" s="10"/>
      <c r="O22" s="11">
        <f>IF(ISNUMBER(B22),B22*1000,"")</f>
        <v/>
      </c>
      <c r="P22" s="11">
        <f>IF(ISNUMBER(C22),C22*180/PI(),"")</f>
        <v/>
      </c>
      <c r="Q22" s="11">
        <f>IF(ISNUMBER(E22),E22*1000,"")</f>
        <v/>
      </c>
      <c r="R22" s="11">
        <f>IF(ISNUMBER(F22),F22*1000,"")</f>
        <v/>
      </c>
      <c r="S22" s="11" t="str">
        <f>IF(OR(AND(ISNUMBER(G22),G22&lt;0),AND(ISNUMBER(H22),H22&lt;0)),"VIOLATED - later response unreliable",IF(COUNT(G22:H22)=2,"No negative predicted (estimate)","Not entered / incomplete"))</f>
        <v>Not entered / incomplete</v>
      </c>
    </row>
    <row r="23" spans="1:19" ht="32" customHeight="1">
      <c r="A23" s="8" t="s">
        <v>36</v>
      </c>
      <c r="B23" s="10"/>
      <c r="C23" s="10"/>
      <c r="D23" s="10"/>
      <c r="E23" s="10"/>
      <c r="F23" s="10"/>
      <c r="G23" s="10"/>
      <c r="H23" s="10"/>
      <c r="I23" s="10"/>
      <c r="L23" s="10"/>
      <c r="O23" s="11">
        <f>IF(ISNUMBER(B23),B23*1000,"")</f>
        <v/>
      </c>
      <c r="P23" s="11">
        <f>IF(ISNUMBER(C23),C23*180/PI(),"")</f>
        <v/>
      </c>
      <c r="Q23" s="11">
        <f>IF(ISNUMBER(E23),E23*1000,"")</f>
        <v/>
      </c>
      <c r="R23" s="11">
        <f>IF(ISNUMBER(F23),F23*1000,"")</f>
        <v/>
      </c>
      <c r="S23" s="11" t="str">
        <f>IF(OR(AND(ISNUMBER(G23),G23&lt;0),AND(ISNUMBER(H23),H23&lt;0)),"VIOLATED - later response unreliable",IF(COUNT(G23:H23)=2,"No negative predicted (estimate)","Not entered / incomplete"))</f>
        <v>Not entered / incomplete</v>
      </c>
    </row>
    <row r="24" spans="1:19" ht="32" customHeight="1">
      <c r="A24" s="8" t="s">
        <v>37</v>
      </c>
      <c r="B24" s="10"/>
      <c r="C24" s="10"/>
      <c r="D24" s="10"/>
      <c r="E24" s="10"/>
      <c r="F24" s="10"/>
      <c r="G24" s="10"/>
      <c r="H24" s="10"/>
      <c r="I24" s="10"/>
      <c r="L24" s="10"/>
      <c r="O24" s="11">
        <f>IF(ISNUMBER(B24),B24*1000,"")</f>
        <v/>
      </c>
      <c r="P24" s="11">
        <f>IF(ISNUMBER(C24),C24*180/PI(),"")</f>
        <v/>
      </c>
      <c r="Q24" s="11">
        <f>IF(ISNUMBER(E24),E24*1000,"")</f>
        <v/>
      </c>
      <c r="R24" s="11">
        <f>IF(ISNUMBER(F24),F24*1000,"")</f>
        <v/>
      </c>
      <c r="S24" s="11" t="str">
        <f>IF(OR(AND(ISNUMBER(G24),G24&lt;0),AND(ISNUMBER(H24),H24&lt;0)),"VIOLATED - later response unreliable",IF(COUNT(G24:H24)=2,"No negative predicted (estimate)","Not entered / incomplete"))</f>
        <v>Not entered / incomplete</v>
      </c>
    </row>
    <row r="25" spans="1:19" ht="32" customHeight="1">
      <c r="A25" s="8" t="s">
        <v>38</v>
      </c>
      <c r="B25" s="10"/>
      <c r="C25" s="10"/>
      <c r="D25" s="10"/>
      <c r="E25" s="10"/>
      <c r="F25" s="10"/>
      <c r="G25" s="10"/>
      <c r="H25" s="10"/>
      <c r="I25" s="10"/>
      <c r="L25" s="10"/>
      <c r="O25" s="11">
        <f>IF(ISNUMBER(B25),B25*1000,"")</f>
        <v/>
      </c>
      <c r="P25" s="11">
        <f>IF(ISNUMBER(C25),C25*180/PI(),"")</f>
        <v/>
      </c>
      <c r="Q25" s="11">
        <f>IF(ISNUMBER(E25),E25*1000,"")</f>
        <v/>
      </c>
      <c r="R25" s="11">
        <f>IF(ISNUMBER(F25),F25*1000,"")</f>
        <v/>
      </c>
      <c r="S25" s="11" t="str">
        <f>IF(OR(AND(ISNUMBER(G25),G25&lt;0),AND(ISNUMBER(H25),H25&lt;0)),"VIOLATED - later response unreliable",IF(COUNT(G25:H25)=2,"No negative predicted (estimate)","Not entered / incomplete"))</f>
        <v>Not entered / incomplete</v>
      </c>
    </row>
    <row r="26" spans="1:19" ht="32" customHeight="1">
      <c r="A26" s="8" t="s">
        <v>39</v>
      </c>
      <c r="B26" s="10"/>
      <c r="C26" s="10"/>
      <c r="D26" s="10"/>
      <c r="E26" s="10"/>
      <c r="F26" s="10"/>
      <c r="G26" s="10"/>
      <c r="H26" s="10"/>
      <c r="I26" s="10"/>
      <c r="L26" s="10"/>
      <c r="O26" s="11">
        <f>IF(ISNUMBER(B26),B26*1000,"")</f>
        <v/>
      </c>
      <c r="P26" s="11">
        <f>IF(ISNUMBER(C26),C26*180/PI(),"")</f>
        <v/>
      </c>
      <c r="Q26" s="11">
        <f>IF(ISNUMBER(E26),E26*1000,"")</f>
        <v/>
      </c>
      <c r="R26" s="11">
        <f>IF(ISNUMBER(F26),F26*1000,"")</f>
        <v/>
      </c>
      <c r="S26" s="11" t="str">
        <f>IF(OR(AND(ISNUMBER(G26),G26&lt;0),AND(ISNUMBER(H26),H26&lt;0)),"VIOLATED - later response unreliable",IF(COUNT(G26:H26)=2,"No negative predicted (estimate)","Not entered / incomplete"))</f>
        <v>Not entered / incomplete</v>
      </c>
    </row>
    <row r="27" spans="1:19" ht="32" customHeight="1">
      <c r="A27" s="8" t="s">
        <v>40</v>
      </c>
      <c r="B27" s="10"/>
      <c r="C27" s="10"/>
      <c r="D27" s="10"/>
      <c r="E27" s="10"/>
      <c r="F27" s="10"/>
      <c r="G27" s="10"/>
      <c r="H27" s="10"/>
      <c r="I27" s="10"/>
      <c r="L27" s="10"/>
      <c r="O27" s="11">
        <f>IF(ISNUMBER(B27),B27*1000,"")</f>
        <v/>
      </c>
      <c r="P27" s="11">
        <f>IF(ISNUMBER(C27),C27*180/PI(),"")</f>
        <v/>
      </c>
      <c r="Q27" s="11">
        <f>IF(ISNUMBER(E27),E27*1000,"")</f>
        <v/>
      </c>
      <c r="R27" s="11">
        <f>IF(ISNUMBER(F27),F27*1000,"")</f>
        <v/>
      </c>
      <c r="S27" s="11" t="str">
        <f>IF(OR(AND(ISNUMBER(G27),G27&lt;0),AND(ISNUMBER(H27),H27&lt;0)),"VIOLATED - later response unreliable",IF(COUNT(G27:H27)=2,"No negative predicted (estimate)","Not entered / incomplete"))</f>
        <v>Not entered / incomplete</v>
      </c>
    </row>
    <row r="28" spans="1:19" ht="32" customHeight="1">
      <c r="A28" s="8" t="s">
        <v>41</v>
      </c>
      <c r="B28" s="10"/>
      <c r="C28" s="10"/>
      <c r="D28" s="10"/>
      <c r="E28" s="10"/>
      <c r="F28" s="10"/>
      <c r="G28" s="10"/>
      <c r="H28" s="10"/>
      <c r="I28" s="10"/>
      <c r="L28" s="10"/>
      <c r="O28" s="11">
        <f>IF(ISNUMBER(B28),B28*1000,"")</f>
        <v/>
      </c>
      <c r="P28" s="11">
        <f>IF(ISNUMBER(C28),C28*180/PI(),"")</f>
        <v/>
      </c>
      <c r="Q28" s="11">
        <f>IF(ISNUMBER(E28),E28*1000,"")</f>
        <v/>
      </c>
      <c r="R28" s="11">
        <f>IF(ISNUMBER(F28),F28*1000,"")</f>
        <v/>
      </c>
      <c r="S28" s="11" t="str">
        <f>IF(OR(AND(ISNUMBER(G28),G28&lt;0),AND(ISNUMBER(H28),H28&lt;0)),"VIOLATED - later response unreliable",IF(COUNT(G28:H28)=2,"No negative predicted (estimate)","Not entered / incomplete"))</f>
        <v>Not entered / incomplete</v>
      </c>
    </row>
    <row r="29" spans="1:19" ht="32" customHeight="1">
      <c r="A29" s="8" t="s">
        <v>42</v>
      </c>
      <c r="B29" s="10"/>
      <c r="C29" s="10"/>
      <c r="D29" s="10"/>
      <c r="E29" s="10"/>
      <c r="F29" s="10"/>
      <c r="G29" s="10"/>
      <c r="H29" s="10"/>
      <c r="I29" s="10"/>
      <c r="L29" s="10"/>
      <c r="O29" s="11">
        <f>IF(ISNUMBER(B29),B29*1000,"")</f>
        <v/>
      </c>
      <c r="P29" s="11">
        <f>IF(ISNUMBER(C29),C29*180/PI(),"")</f>
        <v/>
      </c>
      <c r="Q29" s="11">
        <f>IF(ISNUMBER(E29),E29*1000,"")</f>
        <v/>
      </c>
      <c r="R29" s="11">
        <f>IF(ISNUMBER(F29),F29*1000,"")</f>
        <v/>
      </c>
      <c r="S29" s="11" t="str">
        <f>IF(OR(AND(ISNUMBER(G29),G29&lt;0),AND(ISNUMBER(H29),H29&lt;0)),"VIOLATED - later response unreliable",IF(COUNT(G29:H29)=2,"No negative predicted (estimate)","Not entered / incomplete"))</f>
        <v>Not entered / incomplete</v>
      </c>
    </row>
    <row r="30" spans="1:19" ht="32" customHeight="1">
      <c r="A30" s="8" t="s">
        <v>43</v>
      </c>
      <c r="B30" s="10"/>
      <c r="C30" s="10"/>
      <c r="D30" s="10"/>
      <c r="E30" s="10"/>
      <c r="F30" s="10"/>
      <c r="G30" s="10"/>
      <c r="H30" s="10"/>
      <c r="I30" s="10"/>
      <c r="L30" s="10"/>
      <c r="O30" s="11">
        <f>IF(ISNUMBER(B30),B30*1000,"")</f>
        <v/>
      </c>
      <c r="P30" s="11">
        <f>IF(ISNUMBER(C30),C30*180/PI(),"")</f>
        <v/>
      </c>
      <c r="Q30" s="11">
        <f>IF(ISNUMBER(E30),E30*1000,"")</f>
        <v/>
      </c>
      <c r="R30" s="11">
        <f>IF(ISNUMBER(F30),F30*1000,"")</f>
        <v/>
      </c>
      <c r="S30" s="11" t="str">
        <f>IF(OR(AND(ISNUMBER(G30),G30&lt;0),AND(ISNUMBER(H30),H30&lt;0)),"VIOLATED - later response unreliable",IF(COUNT(G30:H30)=2,"No negative predicted (estimate)","Not entered / incomplete"))</f>
        <v>Not entered / incomplete</v>
      </c>
    </row>
    <row r="31" spans="1:19" ht="32" customHeight="1">
      <c r="A31" s="8" t="s">
        <v>44</v>
      </c>
      <c r="B31" s="10"/>
      <c r="C31" s="10"/>
      <c r="D31" s="10"/>
      <c r="E31" s="10"/>
      <c r="F31" s="10"/>
      <c r="G31" s="10"/>
      <c r="H31" s="10"/>
      <c r="I31" s="10"/>
      <c r="L31" s="10"/>
      <c r="O31" s="11">
        <f>IF(ISNUMBER(B31),B31*1000,"")</f>
        <v/>
      </c>
      <c r="P31" s="11">
        <f>IF(ISNUMBER(C31),C31*180/PI(),"")</f>
        <v/>
      </c>
      <c r="Q31" s="11">
        <f>IF(ISNUMBER(E31),E31*1000,"")</f>
        <v/>
      </c>
      <c r="R31" s="11">
        <f>IF(ISNUMBER(F31),F31*1000,"")</f>
        <v/>
      </c>
      <c r="S31" s="11" t="str">
        <f>IF(OR(AND(ISNUMBER(G31),G31&lt;0),AND(ISNUMBER(H31),H31&lt;0)),"VIOLATED - later response unreliable",IF(COUNT(G31:H31)=2,"No negative predicted (estimate)","Not entered / incomplete"))</f>
        <v>Not entered / incomplete</v>
      </c>
    </row>
    <row r="32" spans="1:19" ht="32" customHeight="1">
      <c r="A32" s="8" t="s">
        <v>45</v>
      </c>
      <c r="B32" s="10"/>
      <c r="C32" s="10"/>
      <c r="D32" s="10"/>
      <c r="E32" s="10"/>
      <c r="F32" s="10"/>
      <c r="G32" s="10"/>
      <c r="H32" s="10"/>
      <c r="I32" s="10"/>
      <c r="L32" s="10"/>
      <c r="O32" s="11">
        <f>IF(ISNUMBER(B32),B32*1000,"")</f>
        <v/>
      </c>
      <c r="P32" s="11">
        <f>IF(ISNUMBER(C32),C32*180/PI(),"")</f>
        <v/>
      </c>
      <c r="Q32" s="11">
        <f>IF(ISNUMBER(E32),E32*1000,"")</f>
        <v/>
      </c>
      <c r="R32" s="11">
        <f>IF(ISNUMBER(F32),F32*1000,"")</f>
        <v/>
      </c>
      <c r="S32" s="11" t="str">
        <f>IF(OR(AND(ISNUMBER(G32),G32&lt;0),AND(ISNUMBER(H32),H32&lt;0)),"VIOLATED - later response unreliable",IF(COUNT(G32:H32)=2,"No negative predicted (estimate)","Not entered / incomplete"))</f>
        <v>Not entered / incomplete</v>
      </c>
    </row>
    <row r="33" spans="1:19" ht="32" customHeight="1">
      <c r="A33" s="8" t="s">
        <v>46</v>
      </c>
      <c r="B33" s="10"/>
      <c r="C33" s="10"/>
      <c r="D33" s="10"/>
      <c r="E33" s="10"/>
      <c r="F33" s="10"/>
      <c r="G33" s="10"/>
      <c r="H33" s="10"/>
      <c r="I33" s="10"/>
      <c r="L33" s="10"/>
      <c r="O33" s="11">
        <f>IF(ISNUMBER(B33),B33*1000,"")</f>
        <v/>
      </c>
      <c r="P33" s="11">
        <f>IF(ISNUMBER(C33),C33*180/PI(),"")</f>
        <v/>
      </c>
      <c r="Q33" s="11">
        <f>IF(ISNUMBER(E33),E33*1000,"")</f>
        <v/>
      </c>
      <c r="R33" s="11">
        <f>IF(ISNUMBER(F33),F33*1000,"")</f>
        <v/>
      </c>
      <c r="S33" s="11" t="str">
        <f>IF(OR(AND(ISNUMBER(G33),G33&lt;0),AND(ISNUMBER(H33),H33&lt;0)),"VIOLATED - later response unreliable",IF(COUNT(G33:H33)=2,"No negative predicted (estimate)","Not entered / incomplete"))</f>
        <v>Not entered / incomplete</v>
      </c>
    </row>
    <row r="34" spans="1:19" ht="32" customHeight="1">
      <c r="A34" s="8" t="s">
        <v>47</v>
      </c>
      <c r="B34" s="10"/>
      <c r="C34" s="10"/>
      <c r="D34" s="10"/>
      <c r="E34" s="10"/>
      <c r="F34" s="10"/>
      <c r="G34" s="10"/>
      <c r="H34" s="10"/>
      <c r="I34" s="10"/>
      <c r="L34" s="10"/>
      <c r="O34" s="11">
        <f>IF(ISNUMBER(B34),B34*1000,"")</f>
        <v/>
      </c>
      <c r="P34" s="11">
        <f>IF(ISNUMBER(C34),C34*180/PI(),"")</f>
        <v/>
      </c>
      <c r="Q34" s="11">
        <f>IF(ISNUMBER(E34),E34*1000,"")</f>
        <v/>
      </c>
      <c r="R34" s="11">
        <f>IF(ISNUMBER(F34),F34*1000,"")</f>
        <v/>
      </c>
      <c r="S34" s="11" t="str">
        <f>IF(OR(AND(ISNUMBER(G34),G34&lt;0),AND(ISNUMBER(H34),H34&lt;0)),"VIOLATED - later response unreliable",IF(COUNT(G34:H34)=2,"No negative predicted (estimate)","Not entered / incomplete"))</f>
        <v>Not entered / incomplete</v>
      </c>
    </row>
    <row r="35" spans="1:19" ht="32" customHeight="1">
      <c r="A35" s="8" t="s">
        <v>48</v>
      </c>
      <c r="B35" s="10"/>
      <c r="C35" s="10"/>
      <c r="D35" s="10"/>
      <c r="E35" s="10"/>
      <c r="F35" s="10"/>
      <c r="G35" s="10"/>
      <c r="H35" s="10"/>
      <c r="I35" s="10"/>
      <c r="L35" s="10"/>
      <c r="O35" s="11">
        <f>IF(ISNUMBER(B35),B35*1000,"")</f>
        <v/>
      </c>
      <c r="P35" s="11">
        <f>IF(ISNUMBER(C35),C35*180/PI(),"")</f>
        <v/>
      </c>
      <c r="Q35" s="11">
        <f>IF(ISNUMBER(E35),E35*1000,"")</f>
        <v/>
      </c>
      <c r="R35" s="11">
        <f>IF(ISNUMBER(F35),F35*1000,"")</f>
        <v/>
      </c>
      <c r="S35" s="11" t="str">
        <f>IF(OR(AND(ISNUMBER(G35),G35&lt;0),AND(ISNUMBER(H35),H35&lt;0)),"VIOLATED - later response unreliable",IF(COUNT(G35:H35)=2,"No negative predicted (estimate)","Not entered / incomplete"))</f>
        <v>Not entered / incomplete</v>
      </c>
    </row>
    <row r="36" spans="1:19" ht="32" customHeight="1">
      <c r="A36" s="8" t="s">
        <v>49</v>
      </c>
      <c r="B36" s="10"/>
      <c r="C36" s="10"/>
      <c r="D36" s="10"/>
      <c r="E36" s="10"/>
      <c r="F36" s="10"/>
      <c r="G36" s="10"/>
      <c r="H36" s="10"/>
      <c r="I36" s="10"/>
      <c r="L36" s="10"/>
      <c r="O36" s="11">
        <f>IF(ISNUMBER(B36),B36*1000,"")</f>
        <v/>
      </c>
      <c r="P36" s="11">
        <f>IF(ISNUMBER(C36),C36*180/PI(),"")</f>
        <v/>
      </c>
      <c r="Q36" s="11">
        <f>IF(ISNUMBER(E36),E36*1000,"")</f>
        <v/>
      </c>
      <c r="R36" s="11">
        <f>IF(ISNUMBER(F36),F36*1000,"")</f>
        <v/>
      </c>
      <c r="S36" s="11" t="str">
        <f>IF(OR(AND(ISNUMBER(G36),G36&lt;0),AND(ISNUMBER(H36),H36&lt;0)),"VIOLATED - later response unreliable",IF(COUNT(G36:H36)=2,"No negative predicted (estimate)","Not entered / incomplete"))</f>
        <v>Not entered / incomplete</v>
      </c>
    </row>
    <row r="37" spans="1:19" ht="32" customHeight="1">
      <c r="A37" s="8" t="s">
        <v>50</v>
      </c>
      <c r="B37" s="10"/>
      <c r="C37" s="10"/>
      <c r="D37" s="10"/>
      <c r="E37" s="10"/>
      <c r="F37" s="10"/>
      <c r="G37" s="10"/>
      <c r="H37" s="10"/>
      <c r="I37" s="10"/>
      <c r="L37" s="10"/>
      <c r="O37" s="11">
        <f>IF(ISNUMBER(B37),B37*1000,"")</f>
        <v/>
      </c>
      <c r="P37" s="11">
        <f>IF(ISNUMBER(C37),C37*180/PI(),"")</f>
        <v/>
      </c>
      <c r="Q37" s="11">
        <f>IF(ISNUMBER(E37),E37*1000,"")</f>
        <v/>
      </c>
      <c r="R37" s="11">
        <f>IF(ISNUMBER(F37),F37*1000,"")</f>
        <v/>
      </c>
      <c r="S37" s="11" t="str">
        <f>IF(OR(AND(ISNUMBER(G37),G37&lt;0),AND(ISNUMBER(H37),H37&lt;0)),"VIOLATED - later response unreliable",IF(COUNT(G37:H37)=2,"No negative predicted (estimate)","Not entered / incomplete"))</f>
        <v>Not entered / incomplete</v>
      </c>
    </row>
    <row r="38" spans="1:19" ht="32" customHeight="1">
      <c r="A38" s="8" t="s">
        <v>51</v>
      </c>
      <c r="B38" s="10"/>
      <c r="C38" s="10"/>
      <c r="D38" s="10"/>
      <c r="E38" s="10"/>
      <c r="F38" s="10"/>
      <c r="G38" s="10"/>
      <c r="H38" s="10"/>
      <c r="I38" s="10"/>
      <c r="L38" s="10"/>
      <c r="O38" s="11">
        <f>IF(ISNUMBER(B38),B38*1000,"")</f>
        <v/>
      </c>
      <c r="P38" s="11">
        <f>IF(ISNUMBER(C38),C38*180/PI(),"")</f>
        <v/>
      </c>
      <c r="Q38" s="11">
        <f>IF(ISNUMBER(E38),E38*1000,"")</f>
        <v/>
      </c>
      <c r="R38" s="11">
        <f>IF(ISNUMBER(F38),F38*1000,"")</f>
        <v/>
      </c>
      <c r="S38" s="11" t="str">
        <f>IF(OR(AND(ISNUMBER(G38),G38&lt;0),AND(ISNUMBER(H38),H38&lt;0)),"VIOLATED - later response unreliable",IF(COUNT(G38:H38)=2,"No negative predicted (estimate)","Not entered / incomplete"))</f>
        <v>Not entered / incomplete</v>
      </c>
    </row>
    <row r="39" spans="1:19" ht="32" customHeight="1">
      <c r="A39" s="8" t="s">
        <v>52</v>
      </c>
      <c r="B39" s="10"/>
      <c r="C39" s="10"/>
      <c r="D39" s="10"/>
      <c r="E39" s="10"/>
      <c r="F39" s="10"/>
      <c r="G39" s="10"/>
      <c r="H39" s="10"/>
      <c r="I39" s="10"/>
      <c r="L39" s="10"/>
      <c r="O39" s="11">
        <f>IF(ISNUMBER(B39),B39*1000,"")</f>
        <v/>
      </c>
      <c r="P39" s="11">
        <f>IF(ISNUMBER(C39),C39*180/PI(),"")</f>
        <v/>
      </c>
      <c r="Q39" s="11">
        <f>IF(ISNUMBER(E39),E39*1000,"")</f>
        <v/>
      </c>
      <c r="R39" s="11">
        <f>IF(ISNUMBER(F39),F39*1000,"")</f>
        <v/>
      </c>
      <c r="S39" s="11" t="str">
        <f>IF(OR(AND(ISNUMBER(G39),G39&lt;0),AND(ISNUMBER(H39),H39&lt;0)),"VIOLATED - later response unreliable",IF(COUNT(G39:H39)=2,"No negative predicted (estimate)","Not entered / incomplete"))</f>
        <v>Not entered / incomplete</v>
      </c>
    </row>
    <row r="40" spans="1:19" ht="32" customHeight="1">
      <c r="A40" s="8" t="s">
        <v>53</v>
      </c>
      <c r="B40" s="10"/>
      <c r="C40" s="10"/>
      <c r="D40" s="10"/>
      <c r="E40" s="10"/>
      <c r="F40" s="10"/>
      <c r="G40" s="10"/>
      <c r="H40" s="10"/>
      <c r="I40" s="10"/>
      <c r="L40" s="10"/>
      <c r="O40" s="11">
        <f>IF(ISNUMBER(B40),B40*1000,"")</f>
        <v/>
      </c>
      <c r="P40" s="11">
        <f>IF(ISNUMBER(C40),C40*180/PI(),"")</f>
        <v/>
      </c>
      <c r="Q40" s="11">
        <f>IF(ISNUMBER(E40),E40*1000,"")</f>
        <v/>
      </c>
      <c r="R40" s="11">
        <f>IF(ISNUMBER(F40),F40*1000,"")</f>
        <v/>
      </c>
      <c r="S40" s="11" t="str">
        <f>IF(OR(AND(ISNUMBER(G40),G40&lt;0),AND(ISNUMBER(H40),H40&lt;0)),"VIOLATED - later response unreliable",IF(COUNT(G40:H40)=2,"No negative predicted (estimate)","Not entered / incomplete"))</f>
        <v>Not entered / incomplete</v>
      </c>
    </row>
    <row r="41" spans="1:19" ht="32" customHeight="1">
      <c r="A41" s="8" t="s">
        <v>54</v>
      </c>
      <c r="B41" s="10"/>
      <c r="C41" s="10"/>
      <c r="D41" s="10"/>
      <c r="E41" s="10"/>
      <c r="F41" s="10"/>
      <c r="G41" s="10"/>
      <c r="H41" s="10"/>
      <c r="I41" s="10"/>
      <c r="L41" s="10"/>
      <c r="O41" s="11">
        <f>IF(ISNUMBER(B41),B41*1000,"")</f>
        <v/>
      </c>
      <c r="P41" s="11">
        <f>IF(ISNUMBER(C41),C41*180/PI(),"")</f>
        <v/>
      </c>
      <c r="Q41" s="11">
        <f>IF(ISNUMBER(E41),E41*1000,"")</f>
        <v/>
      </c>
      <c r="R41" s="11">
        <f>IF(ISNUMBER(F41),F41*1000,"")</f>
        <v/>
      </c>
      <c r="S41" s="11" t="str">
        <f>IF(OR(AND(ISNUMBER(G41),G41&lt;0),AND(ISNUMBER(H41),H41&lt;0)),"VIOLATED - later response unreliable",IF(COUNT(G41:H41)=2,"No negative predicted (estimate)","Not entered / incomplete"))</f>
        <v>Not entered / incomplete</v>
      </c>
    </row>
    <row r="42" spans="1:19" ht="32" customHeight="1">
      <c r="A42" s="8" t="s">
        <v>55</v>
      </c>
      <c r="B42" s="10"/>
      <c r="C42" s="10"/>
      <c r="D42" s="10"/>
      <c r="E42" s="10"/>
      <c r="F42" s="10"/>
      <c r="G42" s="10"/>
      <c r="H42" s="10"/>
      <c r="I42" s="10"/>
      <c r="L42" s="10"/>
      <c r="O42" s="11">
        <f>IF(ISNUMBER(B42),B42*1000,"")</f>
        <v/>
      </c>
      <c r="P42" s="11">
        <f>IF(ISNUMBER(C42),C42*180/PI(),"")</f>
        <v/>
      </c>
      <c r="Q42" s="11">
        <f>IF(ISNUMBER(E42),E42*1000,"")</f>
        <v/>
      </c>
      <c r="R42" s="11">
        <f>IF(ISNUMBER(F42),F42*1000,"")</f>
        <v/>
      </c>
      <c r="S42" s="11" t="str">
        <f>IF(OR(AND(ISNUMBER(G42),G42&lt;0),AND(ISNUMBER(H42),H42&lt;0)),"VIOLATED - later response unreliable",IF(COUNT(G42:H42)=2,"No negative predicted (estimate)","Not entered / incomplete"))</f>
        <v>Not entered / incomplete</v>
      </c>
    </row>
    <row r="43" spans="1:19" ht="32" customHeight="1">
      <c r="A43" s="8" t="s">
        <v>56</v>
      </c>
      <c r="B43" s="10"/>
      <c r="C43" s="10"/>
      <c r="D43" s="10"/>
      <c r="E43" s="10"/>
      <c r="F43" s="10"/>
      <c r="G43" s="10"/>
      <c r="H43" s="10"/>
      <c r="I43" s="10"/>
      <c r="L43" s="10"/>
      <c r="O43" s="11">
        <f>IF(ISNUMBER(B43),B43*1000,"")</f>
        <v/>
      </c>
      <c r="P43" s="11">
        <f>IF(ISNUMBER(C43),C43*180/PI(),"")</f>
        <v/>
      </c>
      <c r="Q43" s="11">
        <f>IF(ISNUMBER(E43),E43*1000,"")</f>
        <v/>
      </c>
      <c r="R43" s="11">
        <f>IF(ISNUMBER(F43),F43*1000,"")</f>
        <v/>
      </c>
      <c r="S43" s="11" t="str">
        <f>IF(OR(AND(ISNUMBER(G43),G43&lt;0),AND(ISNUMBER(H43),H43&lt;0)),"VIOLATED - later response unreliable",IF(COUNT(G43:H43)=2,"No negative predicted (estimate)","Not entered / incomplete"))</f>
        <v>Not entered / incomplete</v>
      </c>
    </row>
    <row r="44" spans="1:19" ht="32" customHeight="1">
      <c r="A44" s="8" t="s">
        <v>57</v>
      </c>
      <c r="B44" s="10"/>
      <c r="C44" s="10"/>
      <c r="D44" s="10"/>
      <c r="E44" s="10"/>
      <c r="F44" s="10"/>
      <c r="G44" s="10"/>
      <c r="H44" s="10"/>
      <c r="I44" s="10"/>
      <c r="L44" s="10"/>
      <c r="O44" s="11">
        <f>IF(ISNUMBER(B44),B44*1000,"")</f>
        <v/>
      </c>
      <c r="P44" s="11">
        <f>IF(ISNUMBER(C44),C44*180/PI(),"")</f>
        <v/>
      </c>
      <c r="Q44" s="11">
        <f>IF(ISNUMBER(E44),E44*1000,"")</f>
        <v/>
      </c>
      <c r="R44" s="11">
        <f>IF(ISNUMBER(F44),F44*1000,"")</f>
        <v/>
      </c>
      <c r="S44" s="11" t="str">
        <f>IF(OR(AND(ISNUMBER(G44),G44&lt;0),AND(ISNUMBER(H44),H44&lt;0)),"VIOLATED - later response unreliable",IF(COUNT(G44:H44)=2,"No negative predicted (estimate)","Not entered / incomplete"))</f>
        <v>Not entered / incomplete</v>
      </c>
    </row>
    <row r="45" spans="1:19" ht="32" customHeight="1">
      <c r="A45" s="8" t="s">
        <v>58</v>
      </c>
      <c r="B45" s="10"/>
      <c r="C45" s="10"/>
      <c r="D45" s="10"/>
      <c r="E45" s="10"/>
      <c r="F45" s="10"/>
      <c r="G45" s="10"/>
      <c r="H45" s="10"/>
      <c r="I45" s="10"/>
      <c r="L45" s="10"/>
      <c r="O45" s="11">
        <f>IF(ISNUMBER(B45),B45*1000,"")</f>
        <v/>
      </c>
      <c r="P45" s="11">
        <f>IF(ISNUMBER(C45),C45*180/PI(),"")</f>
        <v/>
      </c>
      <c r="Q45" s="11">
        <f>IF(ISNUMBER(E45),E45*1000,"")</f>
        <v/>
      </c>
      <c r="R45" s="11">
        <f>IF(ISNUMBER(F45),F45*1000,"")</f>
        <v/>
      </c>
      <c r="S45" s="11" t="str">
        <f>IF(OR(AND(ISNUMBER(G45),G45&lt;0),AND(ISNUMBER(H45),H45&lt;0)),"VIOLATED - later response unreliable",IF(COUNT(G45:H45)=2,"No negative predicted (estimate)","Not entered / incomplete"))</f>
        <v>Not entered / incomplete</v>
      </c>
    </row>
    <row r="46" spans="1:19" ht="32" customHeight="1">
      <c r="A46" s="8" t="s">
        <v>59</v>
      </c>
      <c r="B46" s="10"/>
      <c r="C46" s="10"/>
      <c r="D46" s="10"/>
      <c r="E46" s="10"/>
      <c r="F46" s="10"/>
      <c r="G46" s="10"/>
      <c r="H46" s="10"/>
      <c r="I46" s="10"/>
      <c r="L46" s="10"/>
      <c r="O46" s="11">
        <f>IF(ISNUMBER(B46),B46*1000,"")</f>
        <v/>
      </c>
      <c r="P46" s="11">
        <f>IF(ISNUMBER(C46),C46*180/PI(),"")</f>
        <v/>
      </c>
      <c r="Q46" s="11">
        <f>IF(ISNUMBER(E46),E46*1000,"")</f>
        <v/>
      </c>
      <c r="R46" s="11">
        <f>IF(ISNUMBER(F46),F46*1000,"")</f>
        <v/>
      </c>
      <c r="S46" s="11" t="str">
        <f>IF(OR(AND(ISNUMBER(G46),G46&lt;0),AND(ISNUMBER(H46),H46&lt;0)),"VIOLATED - later response unreliable",IF(COUNT(G46:H46)=2,"No negative predicted (estimate)","Not entered / incomplete"))</f>
        <v>Not entered / incomplete</v>
      </c>
    </row>
    <row r="47" spans="1:19" ht="32" customHeight="1">
      <c r="A47" s="8" t="s">
        <v>60</v>
      </c>
      <c r="B47" s="10"/>
      <c r="C47" s="10"/>
      <c r="D47" s="10"/>
      <c r="E47" s="10"/>
      <c r="F47" s="10"/>
      <c r="G47" s="10"/>
      <c r="H47" s="10"/>
      <c r="I47" s="10"/>
      <c r="L47" s="10"/>
      <c r="O47" s="11">
        <f>IF(ISNUMBER(B47),B47*1000,"")</f>
        <v/>
      </c>
      <c r="P47" s="11">
        <f>IF(ISNUMBER(C47),C47*180/PI(),"")</f>
        <v/>
      </c>
      <c r="Q47" s="11">
        <f>IF(ISNUMBER(E47),E47*1000,"")</f>
        <v/>
      </c>
      <c r="R47" s="11">
        <f>IF(ISNUMBER(F47),F47*1000,"")</f>
        <v/>
      </c>
      <c r="S47" s="11" t="str">
        <f>IF(OR(AND(ISNUMBER(G47),G47&lt;0),AND(ISNUMBER(H47),H47&lt;0)),"VIOLATED - later response unreliable",IF(COUNT(G47:H47)=2,"No negative predicted (estimate)","Not entered / incomplete"))</f>
        <v>Not entered / incomplete</v>
      </c>
    </row>
    <row r="48" spans="1:19" ht="32" customHeight="1">
      <c r="A48" s="8" t="s">
        <v>61</v>
      </c>
      <c r="B48" s="10"/>
      <c r="C48" s="10"/>
      <c r="D48" s="10"/>
      <c r="E48" s="10"/>
      <c r="F48" s="10"/>
      <c r="G48" s="10"/>
      <c r="H48" s="10"/>
      <c r="I48" s="10"/>
      <c r="L48" s="10"/>
      <c r="O48" s="11">
        <f>IF(ISNUMBER(B48),B48*1000,"")</f>
        <v/>
      </c>
      <c r="P48" s="11">
        <f>IF(ISNUMBER(C48),C48*180/PI(),"")</f>
        <v/>
      </c>
      <c r="Q48" s="11">
        <f>IF(ISNUMBER(E48),E48*1000,"")</f>
        <v/>
      </c>
      <c r="R48" s="11">
        <f>IF(ISNUMBER(F48),F48*1000,"")</f>
        <v/>
      </c>
      <c r="S48" s="11" t="str">
        <f>IF(OR(AND(ISNUMBER(G48),G48&lt;0),AND(ISNUMBER(H48),H48&lt;0)),"VIOLATED - later response unreliable",IF(COUNT(G48:H48)=2,"No negative predicted (estimate)","Not entered / incomplete"))</f>
        <v>Not entered / incomplete</v>
      </c>
    </row>
    <row r="49" spans="1:19" ht="32" customHeight="1">
      <c r="A49" s="8" t="s">
        <v>62</v>
      </c>
      <c r="B49" s="10"/>
      <c r="C49" s="10"/>
      <c r="D49" s="10"/>
      <c r="E49" s="10"/>
      <c r="F49" s="10"/>
      <c r="G49" s="10"/>
      <c r="H49" s="10"/>
      <c r="I49" s="10"/>
      <c r="L49" s="10"/>
      <c r="O49" s="11">
        <f>IF(ISNUMBER(B49),B49*1000,"")</f>
        <v/>
      </c>
      <c r="P49" s="11">
        <f>IF(ISNUMBER(C49),C49*180/PI(),"")</f>
        <v/>
      </c>
      <c r="Q49" s="11">
        <f>IF(ISNUMBER(E49),E49*1000,"")</f>
        <v/>
      </c>
      <c r="R49" s="11">
        <f>IF(ISNUMBER(F49),F49*1000,"")</f>
        <v/>
      </c>
      <c r="S49" s="11" t="str">
        <f>IF(OR(AND(ISNUMBER(G49),G49&lt;0),AND(ISNUMBER(H49),H49&lt;0)),"VIOLATED - later response unreliable",IF(COUNT(G49:H49)=2,"No negative predicted (estimate)","Not entered / incomplete"))</f>
        <v>Not entered / incomplete</v>
      </c>
    </row>
    <row r="50" spans="1:19" ht="32" customHeight="1">
      <c r="A50" s="8" t="s">
        <v>63</v>
      </c>
      <c r="B50" s="10"/>
      <c r="C50" s="10"/>
      <c r="D50" s="10"/>
      <c r="E50" s="10"/>
      <c r="F50" s="10"/>
      <c r="G50" s="10"/>
      <c r="H50" s="10"/>
      <c r="I50" s="10"/>
      <c r="L50" s="10"/>
      <c r="O50" s="11">
        <f>IF(ISNUMBER(B50),B50*1000,"")</f>
        <v/>
      </c>
      <c r="P50" s="11">
        <f>IF(ISNUMBER(C50),C50*180/PI(),"")</f>
        <v/>
      </c>
      <c r="Q50" s="11">
        <f>IF(ISNUMBER(E50),E50*1000,"")</f>
        <v/>
      </c>
      <c r="R50" s="11">
        <f>IF(ISNUMBER(F50),F50*1000,"")</f>
        <v/>
      </c>
      <c r="S50" s="11" t="str">
        <f>IF(OR(AND(ISNUMBER(G50),G50&lt;0),AND(ISNUMBER(H50),H50&lt;0)),"VIOLATED - later response unreliable",IF(COUNT(G50:H50)=2,"No negative predicted (estimate)","Not entered / incomplete"))</f>
        <v>Not entered / incomplete</v>
      </c>
    </row>
    <row r="51" spans="1:19" ht="32" customHeight="1">
      <c r="A51" s="8" t="s">
        <v>64</v>
      </c>
      <c r="B51" s="10"/>
      <c r="C51" s="10"/>
      <c r="D51" s="10"/>
      <c r="E51" s="10"/>
      <c r="F51" s="10"/>
      <c r="G51" s="10"/>
      <c r="H51" s="10"/>
      <c r="I51" s="10"/>
      <c r="L51" s="10"/>
      <c r="O51" s="11">
        <f>IF(ISNUMBER(B51),B51*1000,"")</f>
        <v/>
      </c>
      <c r="P51" s="11">
        <f>IF(ISNUMBER(C51),C51*180/PI(),"")</f>
        <v/>
      </c>
      <c r="Q51" s="11">
        <f>IF(ISNUMBER(E51),E51*1000,"")</f>
        <v/>
      </c>
      <c r="R51" s="11">
        <f>IF(ISNUMBER(F51),F51*1000,"")</f>
        <v/>
      </c>
      <c r="S51" s="11" t="str">
        <f>IF(OR(AND(ISNUMBER(G51),G51&lt;0),AND(ISNUMBER(H51),H51&lt;0)),"VIOLATED - later response unreliable",IF(COUNT(G51:H51)=2,"No negative predicted (estimate)","Not entered / incomplete"))</f>
        <v>Not entered / incomplete</v>
      </c>
    </row>
    <row r="52" spans="1:19" ht="32" customHeight="1">
      <c r="A52" s="8" t="s">
        <v>65</v>
      </c>
      <c r="B52" s="10"/>
      <c r="C52" s="10"/>
      <c r="D52" s="10"/>
      <c r="E52" s="10"/>
      <c r="F52" s="10"/>
      <c r="G52" s="10"/>
      <c r="H52" s="10"/>
      <c r="I52" s="10"/>
      <c r="L52" s="10"/>
      <c r="O52" s="11">
        <f>IF(ISNUMBER(B52),B52*1000,"")</f>
        <v/>
      </c>
      <c r="P52" s="11">
        <f>IF(ISNUMBER(C52),C52*180/PI(),"")</f>
        <v/>
      </c>
      <c r="Q52" s="11">
        <f>IF(ISNUMBER(E52),E52*1000,"")</f>
        <v/>
      </c>
      <c r="R52" s="11">
        <f>IF(ISNUMBER(F52),F52*1000,"")</f>
        <v/>
      </c>
      <c r="S52" s="11" t="str">
        <f>IF(OR(AND(ISNUMBER(G52),G52&lt;0),AND(ISNUMBER(H52),H52&lt;0)),"VIOLATED - later response unreliable",IF(COUNT(G52:H52)=2,"No negative predicted (estimate)","Not entered / incomplete"))</f>
        <v>Not entered / incomplete</v>
      </c>
    </row>
    <row r="53" spans="1:19" ht="32" customHeight="1">
      <c r="A53" s="8" t="s">
        <v>66</v>
      </c>
      <c r="B53" s="10"/>
      <c r="C53" s="10"/>
      <c r="D53" s="10"/>
      <c r="E53" s="10"/>
      <c r="F53" s="10"/>
      <c r="G53" s="10"/>
      <c r="H53" s="10"/>
      <c r="I53" s="10"/>
      <c r="L53" s="10"/>
      <c r="O53" s="11">
        <f>IF(ISNUMBER(B53),B53*1000,"")</f>
        <v/>
      </c>
      <c r="P53" s="11">
        <f>IF(ISNUMBER(C53),C53*180/PI(),"")</f>
        <v/>
      </c>
      <c r="Q53" s="11">
        <f>IF(ISNUMBER(E53),E53*1000,"")</f>
        <v/>
      </c>
      <c r="R53" s="11">
        <f>IF(ISNUMBER(F53),F53*1000,"")</f>
        <v/>
      </c>
      <c r="S53" s="11" t="str">
        <f>IF(OR(AND(ISNUMBER(G53),G53&lt;0),AND(ISNUMBER(H53),H53&lt;0)),"VIOLATED - later response unreliable",IF(COUNT(G53:H53)=2,"No negative predicted (estimate)","Not entered / incomplete"))</f>
        <v>Not entered / incomplete</v>
      </c>
    </row>
    <row r="54" spans="1:19" ht="32" customHeight="1">
      <c r="A54" s="8" t="s">
        <v>67</v>
      </c>
      <c r="B54" s="10"/>
      <c r="C54" s="10"/>
      <c r="D54" s="10"/>
      <c r="E54" s="10"/>
      <c r="F54" s="10"/>
      <c r="G54" s="10"/>
      <c r="H54" s="10"/>
      <c r="I54" s="10"/>
      <c r="L54" s="10"/>
      <c r="O54" s="11">
        <f>IF(ISNUMBER(B54),B54*1000,"")</f>
        <v/>
      </c>
      <c r="P54" s="11">
        <f>IF(ISNUMBER(C54),C54*180/PI(),"")</f>
        <v/>
      </c>
      <c r="Q54" s="11">
        <f>IF(ISNUMBER(E54),E54*1000,"")</f>
        <v/>
      </c>
      <c r="R54" s="11">
        <f>IF(ISNUMBER(F54),F54*1000,"")</f>
        <v/>
      </c>
      <c r="S54" s="11" t="str">
        <f>IF(OR(AND(ISNUMBER(G54),G54&lt;0),AND(ISNUMBER(H54),H54&lt;0)),"VIOLATED - later response unreliable",IF(COUNT(G54:H54)=2,"No negative predicted (estimate)","Not entered / incomplete"))</f>
        <v>Not entered / incomplete</v>
      </c>
    </row>
    <row r="55" spans="1:19" ht="32" customHeight="1">
      <c r="A55" s="8" t="s">
        <v>68</v>
      </c>
      <c r="B55" s="10"/>
      <c r="C55" s="10"/>
      <c r="D55" s="10"/>
      <c r="E55" s="10"/>
      <c r="F55" s="10"/>
      <c r="G55" s="10"/>
      <c r="H55" s="10"/>
      <c r="I55" s="10"/>
      <c r="L55" s="10"/>
      <c r="O55" s="11">
        <f>IF(ISNUMBER(B55),B55*1000,"")</f>
        <v/>
      </c>
      <c r="P55" s="11">
        <f>IF(ISNUMBER(C55),C55*180/PI(),"")</f>
        <v/>
      </c>
      <c r="Q55" s="11">
        <f>IF(ISNUMBER(E55),E55*1000,"")</f>
        <v/>
      </c>
      <c r="R55" s="11">
        <f>IF(ISNUMBER(F55),F55*1000,"")</f>
        <v/>
      </c>
      <c r="S55" s="11" t="str">
        <f>IF(OR(AND(ISNUMBER(G55),G55&lt;0),AND(ISNUMBER(H55),H55&lt;0)),"VIOLATED - later response unreliable",IF(COUNT(G55:H55)=2,"No negative predicted (estimate)","Not entered / incomplete"))</f>
        <v>Not entered / incomplete</v>
      </c>
    </row>
    <row r="56" spans="1:19" ht="32" customHeight="1">
      <c r="A56" s="8" t="s">
        <v>69</v>
      </c>
      <c r="B56" s="10"/>
      <c r="C56" s="10"/>
      <c r="D56" s="10"/>
      <c r="E56" s="10"/>
      <c r="F56" s="10"/>
      <c r="G56" s="10"/>
      <c r="H56" s="10"/>
      <c r="I56" s="10"/>
      <c r="L56" s="10"/>
      <c r="O56" s="11">
        <f>IF(ISNUMBER(B56),B56*1000,"")</f>
        <v/>
      </c>
      <c r="P56" s="11">
        <f>IF(ISNUMBER(C56),C56*180/PI(),"")</f>
        <v/>
      </c>
      <c r="Q56" s="11">
        <f>IF(ISNUMBER(E56),E56*1000,"")</f>
        <v/>
      </c>
      <c r="R56" s="11">
        <f>IF(ISNUMBER(F56),F56*1000,"")</f>
        <v/>
      </c>
      <c r="S56" s="11" t="str">
        <f>IF(OR(AND(ISNUMBER(G56),G56&lt;0),AND(ISNUMBER(H56),H56&lt;0)),"VIOLATED - later response unreliable",IF(COUNT(G56:H56)=2,"No negative predicted (estimate)","Not entered / incomplete"))</f>
        <v>Not entered / incomplete</v>
      </c>
    </row>
    <row r="57" spans="1:19" ht="32" customHeight="1">
      <c r="A57" s="8" t="s">
        <v>70</v>
      </c>
      <c r="B57" s="10"/>
      <c r="C57" s="10"/>
      <c r="D57" s="10"/>
      <c r="E57" s="10"/>
      <c r="F57" s="10"/>
      <c r="G57" s="10"/>
      <c r="H57" s="10"/>
      <c r="I57" s="10"/>
      <c r="L57" s="10"/>
      <c r="O57" s="11">
        <f>IF(ISNUMBER(B57),B57*1000,"")</f>
        <v/>
      </c>
      <c r="P57" s="11">
        <f>IF(ISNUMBER(C57),C57*180/PI(),"")</f>
        <v/>
      </c>
      <c r="Q57" s="11">
        <f>IF(ISNUMBER(E57),E57*1000,"")</f>
        <v/>
      </c>
      <c r="R57" s="11">
        <f>IF(ISNUMBER(F57),F57*1000,"")</f>
        <v/>
      </c>
      <c r="S57" s="11" t="str">
        <f>IF(OR(AND(ISNUMBER(G57),G57&lt;0),AND(ISNUMBER(H57),H57&lt;0)),"VIOLATED - later response unreliable",IF(COUNT(G57:H57)=2,"No negative predicted (estimate)","Not entered / incomplete"))</f>
        <v>Not entered / incomplete</v>
      </c>
    </row>
    <row r="58" spans="1:19" ht="32" customHeight="1">
      <c r="A58" s="8" t="s">
        <v>71</v>
      </c>
      <c r="B58" s="10"/>
      <c r="C58" s="10"/>
      <c r="D58" s="10"/>
      <c r="E58" s="10"/>
      <c r="F58" s="10"/>
      <c r="G58" s="10"/>
      <c r="H58" s="10"/>
      <c r="I58" s="10"/>
      <c r="L58" s="10"/>
      <c r="O58" s="11">
        <f>IF(ISNUMBER(B58),B58*1000,"")</f>
        <v/>
      </c>
      <c r="P58" s="11">
        <f>IF(ISNUMBER(C58),C58*180/PI(),"")</f>
        <v/>
      </c>
      <c r="Q58" s="11">
        <f>IF(ISNUMBER(E58),E58*1000,"")</f>
        <v/>
      </c>
      <c r="R58" s="11">
        <f>IF(ISNUMBER(F58),F58*1000,"")</f>
        <v/>
      </c>
      <c r="S58" s="11" t="str">
        <f>IF(OR(AND(ISNUMBER(G58),G58&lt;0),AND(ISNUMBER(H58),H58&lt;0)),"VIOLATED - later response unreliable",IF(COUNT(G58:H58)=2,"No negative predicted (estimate)","Not entered / incomplete"))</f>
        <v>Not entered / incomplete</v>
      </c>
    </row>
    <row r="59" spans="1:19" ht="32" customHeight="1">
      <c r="A59" s="8" t="s">
        <v>72</v>
      </c>
      <c r="B59" s="10"/>
      <c r="C59" s="10"/>
      <c r="D59" s="10"/>
      <c r="E59" s="10"/>
      <c r="F59" s="10"/>
      <c r="G59" s="10"/>
      <c r="H59" s="10"/>
      <c r="I59" s="10"/>
      <c r="L59" s="10"/>
      <c r="O59" s="11">
        <f>IF(ISNUMBER(B59),B59*1000,"")</f>
        <v/>
      </c>
      <c r="P59" s="11">
        <f>IF(ISNUMBER(C59),C59*180/PI(),"")</f>
        <v/>
      </c>
      <c r="Q59" s="11">
        <f>IF(ISNUMBER(E59),E59*1000,"")</f>
        <v/>
      </c>
      <c r="R59" s="11">
        <f>IF(ISNUMBER(F59),F59*1000,"")</f>
        <v/>
      </c>
      <c r="S59" s="11" t="str">
        <f>IF(OR(AND(ISNUMBER(G59),G59&lt;0),AND(ISNUMBER(H59),H59&lt;0)),"VIOLATED - later response unreliable",IF(COUNT(G59:H59)=2,"No negative predicted (estimate)","Not entered / incomplete"))</f>
        <v>Not entered / incomplete</v>
      </c>
    </row>
    <row r="60" spans="1:19" ht="32" customHeight="1">
      <c r="A60" s="8" t="s">
        <v>73</v>
      </c>
      <c r="B60" s="10"/>
      <c r="C60" s="10"/>
      <c r="D60" s="10"/>
      <c r="E60" s="10"/>
      <c r="F60" s="10"/>
      <c r="G60" s="10"/>
      <c r="H60" s="10"/>
      <c r="I60" s="10"/>
      <c r="L60" s="10"/>
      <c r="O60" s="11">
        <f>IF(ISNUMBER(B60),B60*1000,"")</f>
        <v/>
      </c>
      <c r="P60" s="11">
        <f>IF(ISNUMBER(C60),C60*180/PI(),"")</f>
        <v/>
      </c>
      <c r="Q60" s="11">
        <f>IF(ISNUMBER(E60),E60*1000,"")</f>
        <v/>
      </c>
      <c r="R60" s="11">
        <f>IF(ISNUMBER(F60),F60*1000,"")</f>
        <v/>
      </c>
      <c r="S60" s="11" t="str">
        <f>IF(OR(AND(ISNUMBER(G60),G60&lt;0),AND(ISNUMBER(H60),H60&lt;0)),"VIOLATED - later response unreliable",IF(COUNT(G60:H60)=2,"No negative predicted (estimate)","Not entered / incomplete"))</f>
        <v>Not entered / incomplete</v>
      </c>
    </row>
    <row r="61" spans="1:19" ht="32" customHeight="1">
      <c r="A61" s="8" t="s">
        <v>74</v>
      </c>
      <c r="B61" s="10"/>
      <c r="C61" s="10"/>
      <c r="D61" s="10"/>
      <c r="E61" s="10"/>
      <c r="F61" s="10"/>
      <c r="G61" s="10"/>
      <c r="H61" s="10"/>
      <c r="I61" s="10"/>
      <c r="L61" s="10"/>
      <c r="O61" s="11">
        <f>IF(ISNUMBER(B61),B61*1000,"")</f>
        <v/>
      </c>
      <c r="P61" s="11">
        <f>IF(ISNUMBER(C61),C61*180/PI(),"")</f>
        <v/>
      </c>
      <c r="Q61" s="11">
        <f>IF(ISNUMBER(E61),E61*1000,"")</f>
        <v/>
      </c>
      <c r="R61" s="11">
        <f>IF(ISNUMBER(F61),F61*1000,"")</f>
        <v/>
      </c>
      <c r="S61" s="11" t="str">
        <f>IF(OR(AND(ISNUMBER(G61),G61&lt;0),AND(ISNUMBER(H61),H61&lt;0)),"VIOLATED - later response unreliable",IF(COUNT(G61:H61)=2,"No negative predicted (estimate)","Not entered / incomplete"))</f>
        <v>Not entered / incomplete</v>
      </c>
    </row>
    <row r="62" spans="1:19" ht="32" customHeight="1">
      <c r="A62" s="8" t="s">
        <v>75</v>
      </c>
      <c r="B62" s="10"/>
      <c r="C62" s="10"/>
      <c r="D62" s="10"/>
      <c r="E62" s="10"/>
      <c r="F62" s="10"/>
      <c r="G62" s="10"/>
      <c r="H62" s="10"/>
      <c r="I62" s="10"/>
      <c r="L62" s="10"/>
      <c r="O62" s="11">
        <f>IF(ISNUMBER(B62),B62*1000,"")</f>
        <v/>
      </c>
      <c r="P62" s="11">
        <f>IF(ISNUMBER(C62),C62*180/PI(),"")</f>
        <v/>
      </c>
      <c r="Q62" s="11">
        <f>IF(ISNUMBER(E62),E62*1000,"")</f>
        <v/>
      </c>
      <c r="R62" s="11">
        <f>IF(ISNUMBER(F62),F62*1000,"")</f>
        <v/>
      </c>
      <c r="S62" s="11" t="str">
        <f>IF(OR(AND(ISNUMBER(G62),G62&lt;0),AND(ISNUMBER(H62),H62&lt;0)),"VIOLATED - later response unreliable",IF(COUNT(G62:H62)=2,"No negative predicted (estimate)","Not entered / incomplete"))</f>
        <v>Not entered / incomplete</v>
      </c>
    </row>
    <row r="63" spans="1:19" ht="32" customHeight="1">
      <c r="A63" s="8" t="s">
        <v>76</v>
      </c>
      <c r="B63" s="10"/>
      <c r="C63" s="10"/>
      <c r="D63" s="10"/>
      <c r="E63" s="10"/>
      <c r="F63" s="10"/>
      <c r="G63" s="10"/>
      <c r="H63" s="10"/>
      <c r="I63" s="10"/>
      <c r="L63" s="10"/>
      <c r="O63" s="11">
        <f>IF(ISNUMBER(B63),B63*1000,"")</f>
        <v/>
      </c>
      <c r="P63" s="11">
        <f>IF(ISNUMBER(C63),C63*180/PI(),"")</f>
        <v/>
      </c>
      <c r="Q63" s="11">
        <f>IF(ISNUMBER(E63),E63*1000,"")</f>
        <v/>
      </c>
      <c r="R63" s="11">
        <f>IF(ISNUMBER(F63),F63*1000,"")</f>
        <v/>
      </c>
      <c r="S63" s="11" t="str">
        <f>IF(OR(AND(ISNUMBER(G63),G63&lt;0),AND(ISNUMBER(H63),H63&lt;0)),"VIOLATED - later response unreliable",IF(COUNT(G63:H63)=2,"No negative predicted (estimate)","Not entered / incomplete"))</f>
        <v>Not entered / incomplete</v>
      </c>
    </row>
    <row r="64" spans="1:19" ht="32" customHeight="1">
      <c r="A64" s="8" t="s">
        <v>77</v>
      </c>
      <c r="B64" s="10"/>
      <c r="C64" s="10"/>
      <c r="D64" s="10"/>
      <c r="E64" s="10"/>
      <c r="F64" s="10"/>
      <c r="G64" s="10"/>
      <c r="H64" s="10"/>
      <c r="I64" s="10"/>
      <c r="L64" s="10"/>
      <c r="O64" s="11">
        <f>IF(ISNUMBER(B64),B64*1000,"")</f>
        <v/>
      </c>
      <c r="P64" s="11">
        <f>IF(ISNUMBER(C64),C64*180/PI(),"")</f>
        <v/>
      </c>
      <c r="Q64" s="11">
        <f>IF(ISNUMBER(E64),E64*1000,"")</f>
        <v/>
      </c>
      <c r="R64" s="11">
        <f>IF(ISNUMBER(F64),F64*1000,"")</f>
        <v/>
      </c>
      <c r="S64" s="11" t="str">
        <f>IF(OR(AND(ISNUMBER(G64),G64&lt;0),AND(ISNUMBER(H64),H64&lt;0)),"VIOLATED - later response unreliable",IF(COUNT(G64:H64)=2,"No negative predicted (estimate)","Not entered / incomplete"))</f>
        <v>Not entered / incomplete</v>
      </c>
    </row>
    <row r="65" spans="1:19" ht="32" customHeight="1">
      <c r="A65" s="8" t="s">
        <v>78</v>
      </c>
      <c r="B65" s="10"/>
      <c r="C65" s="10"/>
      <c r="D65" s="10"/>
      <c r="E65" s="10"/>
      <c r="F65" s="10"/>
      <c r="G65" s="10"/>
      <c r="H65" s="10"/>
      <c r="I65" s="10"/>
      <c r="L65" s="10"/>
      <c r="O65" s="11">
        <f>IF(ISNUMBER(B65),B65*1000,"")</f>
        <v/>
      </c>
      <c r="P65" s="11">
        <f>IF(ISNUMBER(C65),C65*180/PI(),"")</f>
        <v/>
      </c>
      <c r="Q65" s="11">
        <f>IF(ISNUMBER(E65),E65*1000,"")</f>
        <v/>
      </c>
      <c r="R65" s="11">
        <f>IF(ISNUMBER(F65),F65*1000,"")</f>
        <v/>
      </c>
      <c r="S65" s="11" t="str">
        <f>IF(OR(AND(ISNUMBER(G65),G65&lt;0),AND(ISNUMBER(H65),H65&lt;0)),"VIOLATED - later response unreliable",IF(COUNT(G65:H65)=2,"No negative predicted (estimate)","Not entered / incomplete"))</f>
        <v>Not entered / incomplete</v>
      </c>
    </row>
    <row r="66" spans="1:19" ht="32" customHeight="1">
      <c r="A66" s="8" t="s">
        <v>79</v>
      </c>
      <c r="B66" s="10"/>
      <c r="C66" s="10"/>
      <c r="D66" s="10"/>
      <c r="E66" s="10"/>
      <c r="F66" s="10"/>
      <c r="G66" s="10"/>
      <c r="H66" s="10"/>
      <c r="I66" s="10"/>
      <c r="L66" s="10"/>
      <c r="O66" s="11">
        <f>IF(ISNUMBER(B66),B66*1000,"")</f>
        <v/>
      </c>
      <c r="P66" s="11">
        <f>IF(ISNUMBER(C66),C66*180/PI(),"")</f>
        <v/>
      </c>
      <c r="Q66" s="11">
        <f>IF(ISNUMBER(E66),E66*1000,"")</f>
        <v/>
      </c>
      <c r="R66" s="11">
        <f>IF(ISNUMBER(F66),F66*1000,"")</f>
        <v/>
      </c>
      <c r="S66" s="11" t="str">
        <f>IF(OR(AND(ISNUMBER(G66),G66&lt;0),AND(ISNUMBER(H66),H66&lt;0)),"VIOLATED - later response unreliable",IF(COUNT(G66:H66)=2,"No negative predicted (estimate)","Not entered / incomplete"))</f>
        <v>Not entered / incomplete</v>
      </c>
    </row>
    <row r="67" spans="1:19" ht="32" customHeight="1">
      <c r="A67" s="8" t="s">
        <v>80</v>
      </c>
      <c r="B67" s="10"/>
      <c r="C67" s="10"/>
      <c r="D67" s="10"/>
      <c r="E67" s="10"/>
      <c r="F67" s="10"/>
      <c r="G67" s="10"/>
      <c r="H67" s="10"/>
      <c r="I67" s="10"/>
      <c r="L67" s="10"/>
      <c r="O67" s="11">
        <f>IF(ISNUMBER(B67),B67*1000,"")</f>
        <v/>
      </c>
      <c r="P67" s="11">
        <f>IF(ISNUMBER(C67),C67*180/PI(),"")</f>
        <v/>
      </c>
      <c r="Q67" s="11">
        <f>IF(ISNUMBER(E67),E67*1000,"")</f>
        <v/>
      </c>
      <c r="R67" s="11">
        <f>IF(ISNUMBER(F67),F67*1000,"")</f>
        <v/>
      </c>
      <c r="S67" s="11" t="str">
        <f>IF(OR(AND(ISNUMBER(G67),G67&lt;0),AND(ISNUMBER(H67),H67&lt;0)),"VIOLATED - later response unreliable",IF(COUNT(G67:H67)=2,"No negative predicted (estimate)","Not entered / incomplete"))</f>
        <v>Not entered / incomplete</v>
      </c>
    </row>
    <row r="68" spans="1:19" ht="32" customHeight="1">
      <c r="A68" s="8" t="s">
        <v>81</v>
      </c>
      <c r="B68" s="10"/>
      <c r="C68" s="10"/>
      <c r="D68" s="10"/>
      <c r="E68" s="10"/>
      <c r="F68" s="10"/>
      <c r="G68" s="10"/>
      <c r="H68" s="10"/>
      <c r="I68" s="10"/>
      <c r="L68" s="10"/>
      <c r="O68" s="11">
        <f>IF(ISNUMBER(B68),B68*1000,"")</f>
        <v/>
      </c>
      <c r="P68" s="11">
        <f>IF(ISNUMBER(C68),C68*180/PI(),"")</f>
        <v/>
      </c>
      <c r="Q68" s="11">
        <f>IF(ISNUMBER(E68),E68*1000,"")</f>
        <v/>
      </c>
      <c r="R68" s="11">
        <f>IF(ISNUMBER(F68),F68*1000,"")</f>
        <v/>
      </c>
      <c r="S68" s="11" t="str">
        <f>IF(OR(AND(ISNUMBER(G68),G68&lt;0),AND(ISNUMBER(H68),H68&lt;0)),"VIOLATED - later response unreliable",IF(COUNT(G68:H68)=2,"No negative predicted (estimate)","Not entered / incomplete"))</f>
        <v>Not entered / incomplete</v>
      </c>
    </row>
    <row r="69" spans="1:19" ht="32" customHeight="1">
      <c r="A69" s="8" t="s">
        <v>82</v>
      </c>
      <c r="B69" s="10"/>
      <c r="C69" s="10"/>
      <c r="D69" s="10"/>
      <c r="E69" s="10"/>
      <c r="F69" s="10"/>
      <c r="G69" s="10"/>
      <c r="H69" s="10"/>
      <c r="I69" s="10"/>
      <c r="L69" s="10"/>
      <c r="O69" s="11">
        <f>IF(ISNUMBER(B69),B69*1000,"")</f>
        <v/>
      </c>
      <c r="P69" s="11">
        <f>IF(ISNUMBER(C69),C69*180/PI(),"")</f>
        <v/>
      </c>
      <c r="Q69" s="11">
        <f>IF(ISNUMBER(E69),E69*1000,"")</f>
        <v/>
      </c>
      <c r="R69" s="11">
        <f>IF(ISNUMBER(F69),F69*1000,"")</f>
        <v/>
      </c>
      <c r="S69" s="11" t="str">
        <f>IF(OR(AND(ISNUMBER(G69),G69&lt;0),AND(ISNUMBER(H69),H69&lt;0)),"VIOLATED - later response unreliable",IF(COUNT(G69:H69)=2,"No negative predicted (estimate)","Not entered / incomplete"))</f>
        <v>Not entered / incomplete</v>
      </c>
    </row>
    <row r="70" spans="1:19" ht="32" customHeight="1">
      <c r="A70" s="8" t="s">
        <v>83</v>
      </c>
      <c r="B70" s="10"/>
      <c r="C70" s="10"/>
      <c r="D70" s="10"/>
      <c r="E70" s="10"/>
      <c r="F70" s="10"/>
      <c r="G70" s="10"/>
      <c r="H70" s="10"/>
      <c r="I70" s="10"/>
      <c r="L70" s="10"/>
      <c r="O70" s="11">
        <f>IF(ISNUMBER(B70),B70*1000,"")</f>
        <v/>
      </c>
      <c r="P70" s="11">
        <f>IF(ISNUMBER(C70),C70*180/PI(),"")</f>
        <v/>
      </c>
      <c r="Q70" s="11">
        <f>IF(ISNUMBER(E70),E70*1000,"")</f>
        <v/>
      </c>
      <c r="R70" s="11">
        <f>IF(ISNUMBER(F70),F70*1000,"")</f>
        <v/>
      </c>
      <c r="S70" s="11" t="str">
        <f>IF(OR(AND(ISNUMBER(G70),G70&lt;0),AND(ISNUMBER(H70),H70&lt;0)),"VIOLATED - later response unreliable",IF(COUNT(G70:H70)=2,"No negative predicted (estimate)","Not entered / incomplete"))</f>
        <v>Not entered / incomplete</v>
      </c>
    </row>
    <row r="71" spans="1:19" ht="32" customHeight="1">
      <c r="A71" s="8" t="s">
        <v>84</v>
      </c>
      <c r="B71" s="10"/>
      <c r="C71" s="10"/>
      <c r="D71" s="10"/>
      <c r="E71" s="10"/>
      <c r="F71" s="10"/>
      <c r="G71" s="10"/>
      <c r="H71" s="10"/>
      <c r="I71" s="10"/>
      <c r="L71" s="10"/>
      <c r="O71" s="11">
        <f>IF(ISNUMBER(B71),B71*1000,"")</f>
        <v/>
      </c>
      <c r="P71" s="11">
        <f>IF(ISNUMBER(C71),C71*180/PI(),"")</f>
        <v/>
      </c>
      <c r="Q71" s="11">
        <f>IF(ISNUMBER(E71),E71*1000,"")</f>
        <v/>
      </c>
      <c r="R71" s="11">
        <f>IF(ISNUMBER(F71),F71*1000,"")</f>
        <v/>
      </c>
      <c r="S71" s="11" t="str">
        <f>IF(OR(AND(ISNUMBER(G71),G71&lt;0),AND(ISNUMBER(H71),H71&lt;0)),"VIOLATED - later response unreliable",IF(COUNT(G71:H71)=2,"No negative predicted (estimate)","Not entered / incomplete"))</f>
        <v>Not entered / incomplete</v>
      </c>
    </row>
    <row r="72" spans="1:19" ht="32" customHeight="1">
      <c r="A72" s="8" t="s">
        <v>85</v>
      </c>
      <c r="B72" s="10"/>
      <c r="C72" s="10"/>
      <c r="D72" s="10"/>
      <c r="E72" s="10"/>
      <c r="F72" s="10"/>
      <c r="G72" s="10"/>
      <c r="H72" s="10"/>
      <c r="I72" s="10"/>
      <c r="L72" s="10"/>
      <c r="O72" s="11">
        <f>IF(ISNUMBER(B72),B72*1000,"")</f>
        <v/>
      </c>
      <c r="P72" s="11">
        <f>IF(ISNUMBER(C72),C72*180/PI(),"")</f>
        <v/>
      </c>
      <c r="Q72" s="11">
        <f>IF(ISNUMBER(E72),E72*1000,"")</f>
        <v/>
      </c>
      <c r="R72" s="11">
        <f>IF(ISNUMBER(F72),F72*1000,"")</f>
        <v/>
      </c>
      <c r="S72" s="11" t="str">
        <f>IF(OR(AND(ISNUMBER(G72),G72&lt;0),AND(ISNUMBER(H72),H72&lt;0)),"VIOLATED - later response unreliable",IF(COUNT(G72:H72)=2,"No negative predicted (estimate)","Not entered / incomplete"))</f>
        <v>Not entered / incomplete</v>
      </c>
    </row>
    <row r="73" spans="1:19" ht="32" customHeight="1">
      <c r="A73" s="8" t="s">
        <v>86</v>
      </c>
      <c r="B73" s="10"/>
      <c r="C73" s="10"/>
      <c r="D73" s="10"/>
      <c r="E73" s="10"/>
      <c r="F73" s="10"/>
      <c r="G73" s="10"/>
      <c r="H73" s="10"/>
      <c r="I73" s="10"/>
      <c r="L73" s="10"/>
      <c r="O73" s="11">
        <f>IF(ISNUMBER(B73),B73*1000,"")</f>
        <v/>
      </c>
      <c r="P73" s="11">
        <f>IF(ISNUMBER(C73),C73*180/PI(),"")</f>
        <v/>
      </c>
      <c r="Q73" s="11">
        <f>IF(ISNUMBER(E73),E73*1000,"")</f>
        <v/>
      </c>
      <c r="R73" s="11">
        <f>IF(ISNUMBER(F73),F73*1000,"")</f>
        <v/>
      </c>
      <c r="S73" s="11" t="str">
        <f>IF(OR(AND(ISNUMBER(G73),G73&lt;0),AND(ISNUMBER(H73),H73&lt;0)),"VIOLATED - later response unreliable",IF(COUNT(G73:H73)=2,"No negative predicted (estimate)","Not entered / incomplete"))</f>
        <v>Not entered / incomplete</v>
      </c>
    </row>
    <row r="74" spans="1:19" ht="32" customHeight="1">
      <c r="A74" s="8" t="s">
        <v>87</v>
      </c>
      <c r="B74" s="10"/>
      <c r="C74" s="10"/>
      <c r="D74" s="10"/>
      <c r="E74" s="10"/>
      <c r="F74" s="10"/>
      <c r="G74" s="10"/>
      <c r="H74" s="10"/>
      <c r="I74" s="10"/>
      <c r="L74" s="10"/>
      <c r="O74" s="11">
        <f>IF(ISNUMBER(B74),B74*1000,"")</f>
        <v/>
      </c>
      <c r="P74" s="11">
        <f>IF(ISNUMBER(C74),C74*180/PI(),"")</f>
        <v/>
      </c>
      <c r="Q74" s="11">
        <f>IF(ISNUMBER(E74),E74*1000,"")</f>
        <v/>
      </c>
      <c r="R74" s="11">
        <f>IF(ISNUMBER(F74),F74*1000,"")</f>
        <v/>
      </c>
      <c r="S74" s="11" t="str">
        <f>IF(OR(AND(ISNUMBER(G74),G74&lt;0),AND(ISNUMBER(H74),H74&lt;0)),"VIOLATED - later response unreliable",IF(COUNT(G74:H74)=2,"No negative predicted (estimate)","Not entered / incomplete"))</f>
        <v>Not entered / incomplete</v>
      </c>
    </row>
    <row r="75" spans="1:19" ht="32" customHeight="1">
      <c r="A75" s="8" t="s">
        <v>88</v>
      </c>
      <c r="B75" s="10"/>
      <c r="C75" s="10"/>
      <c r="D75" s="10"/>
      <c r="E75" s="10"/>
      <c r="F75" s="10"/>
      <c r="G75" s="10"/>
      <c r="H75" s="10"/>
      <c r="I75" s="10"/>
      <c r="L75" s="10"/>
      <c r="O75" s="11">
        <f>IF(ISNUMBER(B75),B75*1000,"")</f>
        <v/>
      </c>
      <c r="P75" s="11">
        <f>IF(ISNUMBER(C75),C75*180/PI(),"")</f>
        <v/>
      </c>
      <c r="Q75" s="11">
        <f>IF(ISNUMBER(E75),E75*1000,"")</f>
        <v/>
      </c>
      <c r="R75" s="11">
        <f>IF(ISNUMBER(F75),F75*1000,"")</f>
        <v/>
      </c>
      <c r="S75" s="11" t="str">
        <f>IF(OR(AND(ISNUMBER(G75),G75&lt;0),AND(ISNUMBER(H75),H75&lt;0)),"VIOLATED - later response unreliable",IF(COUNT(G75:H75)=2,"No negative predicted (estimate)","Not entered / incomplete"))</f>
        <v>Not entered / incomplete</v>
      </c>
    </row>
    <row r="76" spans="1:19" ht="32" customHeight="1">
      <c r="A76" s="8" t="s">
        <v>89</v>
      </c>
      <c r="B76" s="10"/>
      <c r="C76" s="10"/>
      <c r="D76" s="10"/>
      <c r="E76" s="10"/>
      <c r="F76" s="10"/>
      <c r="G76" s="10"/>
      <c r="H76" s="10"/>
      <c r="I76" s="10"/>
      <c r="L76" s="10"/>
      <c r="O76" s="11">
        <f>IF(ISNUMBER(B76),B76*1000,"")</f>
        <v/>
      </c>
      <c r="P76" s="11">
        <f>IF(ISNUMBER(C76),C76*180/PI(),"")</f>
        <v/>
      </c>
      <c r="Q76" s="11">
        <f>IF(ISNUMBER(E76),E76*1000,"")</f>
        <v/>
      </c>
      <c r="R76" s="11">
        <f>IF(ISNUMBER(F76),F76*1000,"")</f>
        <v/>
      </c>
      <c r="S76" s="11" t="str">
        <f>IF(OR(AND(ISNUMBER(G76),G76&lt;0),AND(ISNUMBER(H76),H76&lt;0)),"VIOLATED - later response unreliable",IF(COUNT(G76:H76)=2,"No negative predicted (estimate)","Not entered / incomplete"))</f>
        <v>Not entered / incomplete</v>
      </c>
    </row>
    <row r="77" spans="1:19" ht="32" customHeight="1">
      <c r="A77" s="8" t="s">
        <v>90</v>
      </c>
      <c r="B77" s="10"/>
      <c r="C77" s="10"/>
      <c r="D77" s="10"/>
      <c r="E77" s="10"/>
      <c r="F77" s="10"/>
      <c r="G77" s="10"/>
      <c r="H77" s="10"/>
      <c r="I77" s="10"/>
      <c r="L77" s="10"/>
      <c r="O77" s="11">
        <f>IF(ISNUMBER(B77),B77*1000,"")</f>
        <v/>
      </c>
      <c r="P77" s="11">
        <f>IF(ISNUMBER(C77),C77*180/PI(),"")</f>
        <v/>
      </c>
      <c r="Q77" s="11">
        <f>IF(ISNUMBER(E77),E77*1000,"")</f>
        <v/>
      </c>
      <c r="R77" s="11">
        <f>IF(ISNUMBER(F77),F77*1000,"")</f>
        <v/>
      </c>
      <c r="S77" s="11" t="str">
        <f>IF(OR(AND(ISNUMBER(G77),G77&lt;0),AND(ISNUMBER(H77),H77&lt;0)),"VIOLATED - later response unreliable",IF(COUNT(G77:H77)=2,"No negative predicted (estimate)","Not entered / incomplete"))</f>
        <v>Not entered / incomplete</v>
      </c>
    </row>
    <row r="78" spans="1:19" ht="32" customHeight="1">
      <c r="A78" s="8" t="s">
        <v>91</v>
      </c>
      <c r="B78" s="10"/>
      <c r="C78" s="10"/>
      <c r="D78" s="10"/>
      <c r="E78" s="10"/>
      <c r="F78" s="10"/>
      <c r="G78" s="10"/>
      <c r="H78" s="10"/>
      <c r="I78" s="10"/>
      <c r="L78" s="10"/>
      <c r="O78" s="11">
        <f>IF(ISNUMBER(B78),B78*1000,"")</f>
        <v/>
      </c>
      <c r="P78" s="11">
        <f>IF(ISNUMBER(C78),C78*180/PI(),"")</f>
        <v/>
      </c>
      <c r="Q78" s="11">
        <f>IF(ISNUMBER(E78),E78*1000,"")</f>
        <v/>
      </c>
      <c r="R78" s="11">
        <f>IF(ISNUMBER(F78),F78*1000,"")</f>
        <v/>
      </c>
      <c r="S78" s="11" t="str">
        <f>IF(OR(AND(ISNUMBER(G78),G78&lt;0),AND(ISNUMBER(H78),H78&lt;0)),"VIOLATED - later response unreliable",IF(COUNT(G78:H78)=2,"No negative predicted (estimate)","Not entered / incomplete"))</f>
        <v>Not entered / incomplete</v>
      </c>
    </row>
    <row r="79" spans="1:19" ht="32" customHeight="1">
      <c r="A79" s="8" t="s">
        <v>92</v>
      </c>
      <c r="B79" s="10"/>
      <c r="C79" s="10"/>
      <c r="D79" s="10"/>
      <c r="E79" s="10"/>
      <c r="F79" s="10"/>
      <c r="G79" s="10"/>
      <c r="H79" s="10"/>
      <c r="I79" s="10"/>
      <c r="L79" s="10"/>
      <c r="O79" s="11">
        <f>IF(ISNUMBER(B79),B79*1000,"")</f>
        <v/>
      </c>
      <c r="P79" s="11">
        <f>IF(ISNUMBER(C79),C79*180/PI(),"")</f>
        <v/>
      </c>
      <c r="Q79" s="11">
        <f>IF(ISNUMBER(E79),E79*1000,"")</f>
        <v/>
      </c>
      <c r="R79" s="11">
        <f>IF(ISNUMBER(F79),F79*1000,"")</f>
        <v/>
      </c>
      <c r="S79" s="11" t="str">
        <f>IF(OR(AND(ISNUMBER(G79),G79&lt;0),AND(ISNUMBER(H79),H79&lt;0)),"VIOLATED - later response unreliable",IF(COUNT(G79:H79)=2,"No negative predicted (estimate)","Not entered / incomplete"))</f>
        <v>Not entered / incomplete</v>
      </c>
    </row>
    <row r="80" spans="1:19" ht="32" customHeight="1">
      <c r="A80" s="8" t="s">
        <v>93</v>
      </c>
      <c r="B80" s="10"/>
      <c r="C80" s="10"/>
      <c r="D80" s="10"/>
      <c r="E80" s="10"/>
      <c r="F80" s="10"/>
      <c r="G80" s="10"/>
      <c r="H80" s="10"/>
      <c r="I80" s="10"/>
      <c r="L80" s="10"/>
      <c r="O80" s="11">
        <f>IF(ISNUMBER(B80),B80*1000,"")</f>
        <v/>
      </c>
      <c r="P80" s="11">
        <f>IF(ISNUMBER(C80),C80*180/PI(),"")</f>
        <v/>
      </c>
      <c r="Q80" s="11">
        <f>IF(ISNUMBER(E80),E80*1000,"")</f>
        <v/>
      </c>
      <c r="R80" s="11">
        <f>IF(ISNUMBER(F80),F80*1000,"")</f>
        <v/>
      </c>
      <c r="S80" s="11" t="str">
        <f>IF(OR(AND(ISNUMBER(G80),G80&lt;0),AND(ISNUMBER(H80),H80&lt;0)),"VIOLATED - later response unreliable",IF(COUNT(G80:H80)=2,"No negative predicted (estimate)","Not entered / incomplete"))</f>
        <v>Not entered / incomplete</v>
      </c>
    </row>
    <row r="81" spans="1:19" ht="32" customHeight="1">
      <c r="A81" s="8" t="s">
        <v>94</v>
      </c>
      <c r="B81" s="10"/>
      <c r="C81" s="10"/>
      <c r="D81" s="10"/>
      <c r="E81" s="10"/>
      <c r="F81" s="10"/>
      <c r="G81" s="10"/>
      <c r="H81" s="10"/>
      <c r="I81" s="10"/>
      <c r="L81" s="10"/>
      <c r="O81" s="11">
        <f>IF(ISNUMBER(B81),B81*1000,"")</f>
        <v/>
      </c>
      <c r="P81" s="11">
        <f>IF(ISNUMBER(C81),C81*180/PI(),"")</f>
        <v/>
      </c>
      <c r="Q81" s="11">
        <f>IF(ISNUMBER(E81),E81*1000,"")</f>
        <v/>
      </c>
      <c r="R81" s="11">
        <f>IF(ISNUMBER(F81),F81*1000,"")</f>
        <v/>
      </c>
      <c r="S81" s="11" t="str">
        <f>IF(OR(AND(ISNUMBER(G81),G81&lt;0),AND(ISNUMBER(H81),H81&lt;0)),"VIOLATED - later response unreliable",IF(COUNT(G81:H81)=2,"No negative predicted (estimate)","Not entered / incomplete"))</f>
        <v>Not entered / incomplete</v>
      </c>
    </row>
    <row r="82" spans="1:19" ht="32" customHeight="1">
      <c r="A82" s="8" t="s">
        <v>95</v>
      </c>
      <c r="B82" s="10"/>
      <c r="C82" s="10"/>
      <c r="D82" s="10"/>
      <c r="E82" s="10"/>
      <c r="F82" s="10"/>
      <c r="G82" s="10"/>
      <c r="H82" s="10"/>
      <c r="I82" s="10"/>
      <c r="L82" s="10"/>
      <c r="O82" s="11">
        <f>IF(ISNUMBER(B82),B82*1000,"")</f>
        <v/>
      </c>
      <c r="P82" s="11">
        <f>IF(ISNUMBER(C82),C82*180/PI(),"")</f>
        <v/>
      </c>
      <c r="Q82" s="11">
        <f>IF(ISNUMBER(E82),E82*1000,"")</f>
        <v/>
      </c>
      <c r="R82" s="11">
        <f>IF(ISNUMBER(F82),F82*1000,"")</f>
        <v/>
      </c>
      <c r="S82" s="11" t="str">
        <f>IF(OR(AND(ISNUMBER(G82),G82&lt;0),AND(ISNUMBER(H82),H82&lt;0)),"VIOLATED - later response unreliable",IF(COUNT(G82:H82)=2,"No negative predicted (estimate)","Not entered / incomplete"))</f>
        <v>Not entered / incomplete</v>
      </c>
    </row>
    <row r="83" spans="1:19" ht="32" customHeight="1">
      <c r="A83" s="8" t="s">
        <v>96</v>
      </c>
      <c r="B83" s="10"/>
      <c r="C83" s="10"/>
      <c r="D83" s="10"/>
      <c r="E83" s="10"/>
      <c r="F83" s="10"/>
      <c r="G83" s="10"/>
      <c r="H83" s="10"/>
      <c r="I83" s="10"/>
      <c r="L83" s="10"/>
      <c r="O83" s="11">
        <f>IF(ISNUMBER(B83),B83*1000,"")</f>
        <v/>
      </c>
      <c r="P83" s="11">
        <f>IF(ISNUMBER(C83),C83*180/PI(),"")</f>
        <v/>
      </c>
      <c r="Q83" s="11">
        <f>IF(ISNUMBER(E83),E83*1000,"")</f>
        <v/>
      </c>
      <c r="R83" s="11">
        <f>IF(ISNUMBER(F83),F83*1000,"")</f>
        <v/>
      </c>
      <c r="S83" s="11" t="str">
        <f>IF(OR(AND(ISNUMBER(G83),G83&lt;0),AND(ISNUMBER(H83),H83&lt;0)),"VIOLATED - later response unreliable",IF(COUNT(G83:H83)=2,"No negative predicted (estimate)","Not entered / incomplete"))</f>
        <v>Not entered / incomplete</v>
      </c>
    </row>
    <row r="84" spans="1:19" ht="32" customHeight="1">
      <c r="A84" s="8" t="s">
        <v>97</v>
      </c>
      <c r="B84" s="10"/>
      <c r="C84" s="10"/>
      <c r="D84" s="10"/>
      <c r="E84" s="10"/>
      <c r="F84" s="10"/>
      <c r="G84" s="10"/>
      <c r="H84" s="10"/>
      <c r="I84" s="10"/>
      <c r="L84" s="10"/>
      <c r="O84" s="11">
        <f>IF(ISNUMBER(B84),B84*1000,"")</f>
        <v/>
      </c>
      <c r="P84" s="11">
        <f>IF(ISNUMBER(C84),C84*180/PI(),"")</f>
        <v/>
      </c>
      <c r="Q84" s="11">
        <f>IF(ISNUMBER(E84),E84*1000,"")</f>
        <v/>
      </c>
      <c r="R84" s="11">
        <f>IF(ISNUMBER(F84),F84*1000,"")</f>
        <v/>
      </c>
      <c r="S84" s="11" t="str">
        <f>IF(OR(AND(ISNUMBER(G84),G84&lt;0),AND(ISNUMBER(H84),H84&lt;0)),"VIOLATED - later response unreliable",IF(COUNT(G84:H84)=2,"No negative predicted (estimate)","Not entered / incomplete"))</f>
        <v>Not entered / incomplete</v>
      </c>
    </row>
    <row r="85" spans="1:19" ht="32" customHeight="1">
      <c r="A85" s="8" t="s">
        <v>98</v>
      </c>
      <c r="B85" s="10"/>
      <c r="C85" s="10"/>
      <c r="D85" s="10"/>
      <c r="E85" s="10"/>
      <c r="F85" s="10"/>
      <c r="G85" s="10"/>
      <c r="H85" s="10"/>
      <c r="I85" s="10"/>
      <c r="L85" s="10"/>
      <c r="O85" s="11">
        <f>IF(ISNUMBER(B85),B85*1000,"")</f>
        <v/>
      </c>
      <c r="P85" s="11">
        <f>IF(ISNUMBER(C85),C85*180/PI(),"")</f>
        <v/>
      </c>
      <c r="Q85" s="11">
        <f>IF(ISNUMBER(E85),E85*1000,"")</f>
        <v/>
      </c>
      <c r="R85" s="11">
        <f>IF(ISNUMBER(F85),F85*1000,"")</f>
        <v/>
      </c>
      <c r="S85" s="11" t="str">
        <f>IF(OR(AND(ISNUMBER(G85),G85&lt;0),AND(ISNUMBER(H85),H85&lt;0)),"VIOLATED - later response unreliable",IF(COUNT(G85:H85)=2,"No negative predicted (estimate)","Not entered / incomplete"))</f>
        <v>Not entered / incomplete</v>
      </c>
    </row>
    <row r="86" spans="1:19" ht="32" customHeight="1">
      <c r="A86" s="8" t="s">
        <v>99</v>
      </c>
      <c r="B86" s="10"/>
      <c r="C86" s="10"/>
      <c r="D86" s="10"/>
      <c r="E86" s="10"/>
      <c r="F86" s="10"/>
      <c r="G86" s="10"/>
      <c r="H86" s="10"/>
      <c r="I86" s="10"/>
      <c r="L86" s="10"/>
      <c r="O86" s="11">
        <f>IF(ISNUMBER(B86),B86*1000,"")</f>
        <v/>
      </c>
      <c r="P86" s="11">
        <f>IF(ISNUMBER(C86),C86*180/PI(),"")</f>
        <v/>
      </c>
      <c r="Q86" s="11">
        <f>IF(ISNUMBER(E86),E86*1000,"")</f>
        <v/>
      </c>
      <c r="R86" s="11">
        <f>IF(ISNUMBER(F86),F86*1000,"")</f>
        <v/>
      </c>
      <c r="S86" s="11" t="str">
        <f>IF(OR(AND(ISNUMBER(G86),G86&lt;0),AND(ISNUMBER(H86),H86&lt;0)),"VIOLATED - later response unreliable",IF(COUNT(G86:H86)=2,"No negative predicted (estimate)","Not entered / incomplete"))</f>
        <v>Not entered / incomplete</v>
      </c>
    </row>
    <row r="87" spans="1:19" ht="32" customHeight="1">
      <c r="A87" s="8" t="s">
        <v>100</v>
      </c>
      <c r="B87" s="10"/>
      <c r="C87" s="10"/>
      <c r="D87" s="10"/>
      <c r="E87" s="10"/>
      <c r="F87" s="10"/>
      <c r="G87" s="10"/>
      <c r="H87" s="10"/>
      <c r="I87" s="10"/>
      <c r="L87" s="10"/>
      <c r="O87" s="11">
        <f>IF(ISNUMBER(B87),B87*1000,"")</f>
        <v/>
      </c>
      <c r="P87" s="11">
        <f>IF(ISNUMBER(C87),C87*180/PI(),"")</f>
        <v/>
      </c>
      <c r="Q87" s="11">
        <f>IF(ISNUMBER(E87),E87*1000,"")</f>
        <v/>
      </c>
      <c r="R87" s="11">
        <f>IF(ISNUMBER(F87),F87*1000,"")</f>
        <v/>
      </c>
      <c r="S87" s="11" t="str">
        <f>IF(OR(AND(ISNUMBER(G87),G87&lt;0),AND(ISNUMBER(H87),H87&lt;0)),"VIOLATED - later response unreliable",IF(COUNT(G87:H87)=2,"No negative predicted (estimate)","Not entered / incomplete"))</f>
        <v>Not entered / incomplete</v>
      </c>
    </row>
    <row r="88" spans="1:19" ht="32" customHeight="1">
      <c r="A88" s="8" t="s">
        <v>101</v>
      </c>
      <c r="B88" s="10"/>
      <c r="C88" s="10"/>
      <c r="D88" s="10"/>
      <c r="E88" s="10"/>
      <c r="F88" s="10"/>
      <c r="G88" s="10"/>
      <c r="H88" s="10"/>
      <c r="I88" s="10"/>
      <c r="L88" s="10"/>
      <c r="O88" s="11">
        <f>IF(ISNUMBER(B88),B88*1000,"")</f>
        <v/>
      </c>
      <c r="P88" s="11">
        <f>IF(ISNUMBER(C88),C88*180/PI(),"")</f>
        <v/>
      </c>
      <c r="Q88" s="11">
        <f>IF(ISNUMBER(E88),E88*1000,"")</f>
        <v/>
      </c>
      <c r="R88" s="11">
        <f>IF(ISNUMBER(F88),F88*1000,"")</f>
        <v/>
      </c>
      <c r="S88" s="11" t="str">
        <f>IF(OR(AND(ISNUMBER(G88),G88&lt;0),AND(ISNUMBER(H88),H88&lt;0)),"VIOLATED - later response unreliable",IF(COUNT(G88:H88)=2,"No negative predicted (estimate)","Not entered / incomplete"))</f>
        <v>Not entered / incomplete</v>
      </c>
    </row>
    <row r="89" spans="1:19" ht="32" customHeight="1">
      <c r="A89" s="8" t="s">
        <v>102</v>
      </c>
      <c r="B89" s="10"/>
      <c r="C89" s="10"/>
      <c r="D89" s="10"/>
      <c r="E89" s="10"/>
      <c r="F89" s="10"/>
      <c r="G89" s="10"/>
      <c r="H89" s="10"/>
      <c r="I89" s="10"/>
      <c r="L89" s="10"/>
      <c r="O89" s="11">
        <f>IF(ISNUMBER(B89),B89*1000,"")</f>
        <v/>
      </c>
      <c r="P89" s="11">
        <f>IF(ISNUMBER(C89),C89*180/PI(),"")</f>
        <v/>
      </c>
      <c r="Q89" s="11">
        <f>IF(ISNUMBER(E89),E89*1000,"")</f>
        <v/>
      </c>
      <c r="R89" s="11">
        <f>IF(ISNUMBER(F89),F89*1000,"")</f>
        <v/>
      </c>
      <c r="S89" s="11" t="str">
        <f>IF(OR(AND(ISNUMBER(G89),G89&lt;0),AND(ISNUMBER(H89),H89&lt;0)),"VIOLATED - later response unreliable",IF(COUNT(G89:H89)=2,"No negative predicted (estimate)","Not entered / incomplete"))</f>
        <v>Not entered / incomplete</v>
      </c>
    </row>
    <row r="90" spans="1:19" ht="32" customHeight="1">
      <c r="A90" s="8" t="s">
        <v>103</v>
      </c>
      <c r="B90" s="10"/>
      <c r="C90" s="10"/>
      <c r="D90" s="10"/>
      <c r="E90" s="10"/>
      <c r="F90" s="10"/>
      <c r="G90" s="10"/>
      <c r="H90" s="10"/>
      <c r="I90" s="10"/>
      <c r="L90" s="10"/>
      <c r="O90" s="11">
        <f>IF(ISNUMBER(B90),B90*1000,"")</f>
        <v/>
      </c>
      <c r="P90" s="11">
        <f>IF(ISNUMBER(C90),C90*180/PI(),"")</f>
        <v/>
      </c>
      <c r="Q90" s="11">
        <f>IF(ISNUMBER(E90),E90*1000,"")</f>
        <v/>
      </c>
      <c r="R90" s="11">
        <f>IF(ISNUMBER(F90),F90*1000,"")</f>
        <v/>
      </c>
      <c r="S90" s="11" t="str">
        <f>IF(OR(AND(ISNUMBER(G90),G90&lt;0),AND(ISNUMBER(H90),H90&lt;0)),"VIOLATED - later response unreliable",IF(COUNT(G90:H90)=2,"No negative predicted (estimate)","Not entered / incomplete"))</f>
        <v>Not entered / incomplete</v>
      </c>
    </row>
    <row r="91" spans="1:19" ht="32" customHeight="1">
      <c r="A91" s="8" t="s">
        <v>104</v>
      </c>
      <c r="B91" s="10"/>
      <c r="C91" s="10"/>
      <c r="D91" s="10"/>
      <c r="E91" s="10"/>
      <c r="F91" s="10"/>
      <c r="G91" s="10"/>
      <c r="H91" s="10"/>
      <c r="I91" s="10"/>
      <c r="L91" s="10"/>
      <c r="O91" s="11">
        <f>IF(ISNUMBER(B91),B91*1000,"")</f>
        <v/>
      </c>
      <c r="P91" s="11">
        <f>IF(ISNUMBER(C91),C91*180/PI(),"")</f>
        <v/>
      </c>
      <c r="Q91" s="11">
        <f>IF(ISNUMBER(E91),E91*1000,"")</f>
        <v/>
      </c>
      <c r="R91" s="11">
        <f>IF(ISNUMBER(F91),F91*1000,"")</f>
        <v/>
      </c>
      <c r="S91" s="11" t="str">
        <f>IF(OR(AND(ISNUMBER(G91),G91&lt;0),AND(ISNUMBER(H91),H91&lt;0)),"VIOLATED - later response unreliable",IF(COUNT(G91:H91)=2,"No negative predicted (estimate)","Not entered / incomplete"))</f>
        <v>Not entered / incomplete</v>
      </c>
    </row>
    <row r="92" spans="1:19" ht="32" customHeight="1">
      <c r="A92" s="8" t="s">
        <v>105</v>
      </c>
      <c r="B92" s="10"/>
      <c r="C92" s="10"/>
      <c r="D92" s="10"/>
      <c r="E92" s="10"/>
      <c r="F92" s="10"/>
      <c r="G92" s="10"/>
      <c r="H92" s="10"/>
      <c r="I92" s="10"/>
      <c r="L92" s="10"/>
      <c r="O92" s="11">
        <f>IF(ISNUMBER(B92),B92*1000,"")</f>
        <v/>
      </c>
      <c r="P92" s="11">
        <f>IF(ISNUMBER(C92),C92*180/PI(),"")</f>
        <v/>
      </c>
      <c r="Q92" s="11">
        <f>IF(ISNUMBER(E92),E92*1000,"")</f>
        <v/>
      </c>
      <c r="R92" s="11">
        <f>IF(ISNUMBER(F92),F92*1000,"")</f>
        <v/>
      </c>
      <c r="S92" s="11" t="str">
        <f>IF(OR(AND(ISNUMBER(G92),G92&lt;0),AND(ISNUMBER(H92),H92&lt;0)),"VIOLATED - later response unreliable",IF(COUNT(G92:H92)=2,"No negative predicted (estimate)","Not entered / incomplete"))</f>
        <v>Not entered / incomplete</v>
      </c>
    </row>
    <row r="93" spans="1:19" ht="32" customHeight="1">
      <c r="A93" s="8" t="s">
        <v>106</v>
      </c>
      <c r="B93" s="10"/>
      <c r="C93" s="10"/>
      <c r="D93" s="10"/>
      <c r="E93" s="10"/>
      <c r="F93" s="10"/>
      <c r="G93" s="10"/>
      <c r="H93" s="10"/>
      <c r="I93" s="10"/>
      <c r="L93" s="10"/>
      <c r="O93" s="11">
        <f>IF(ISNUMBER(B93),B93*1000,"")</f>
        <v/>
      </c>
      <c r="P93" s="11">
        <f>IF(ISNUMBER(C93),C93*180/PI(),"")</f>
        <v/>
      </c>
      <c r="Q93" s="11">
        <f>IF(ISNUMBER(E93),E93*1000,"")</f>
        <v/>
      </c>
      <c r="R93" s="11">
        <f>IF(ISNUMBER(F93),F93*1000,"")</f>
        <v/>
      </c>
      <c r="S93" s="11" t="str">
        <f>IF(OR(AND(ISNUMBER(G93),G93&lt;0),AND(ISNUMBER(H93),H93&lt;0)),"VIOLATED - later response unreliable",IF(COUNT(G93:H93)=2,"No negative predicted (estimate)","Not entered / incomplete"))</f>
        <v>Not entered / incomplete</v>
      </c>
    </row>
    <row r="94" spans="1:19" ht="32" customHeight="1">
      <c r="A94" s="8" t="s">
        <v>107</v>
      </c>
      <c r="B94" s="10"/>
      <c r="C94" s="10"/>
      <c r="D94" s="10"/>
      <c r="E94" s="10"/>
      <c r="F94" s="10"/>
      <c r="G94" s="10"/>
      <c r="H94" s="10"/>
      <c r="I94" s="10"/>
      <c r="L94" s="10"/>
      <c r="O94" s="11">
        <f>IF(ISNUMBER(B94),B94*1000,"")</f>
        <v/>
      </c>
      <c r="P94" s="11">
        <f>IF(ISNUMBER(C94),C94*180/PI(),"")</f>
        <v/>
      </c>
      <c r="Q94" s="11">
        <f>IF(ISNUMBER(E94),E94*1000,"")</f>
        <v/>
      </c>
      <c r="R94" s="11">
        <f>IF(ISNUMBER(F94),F94*1000,"")</f>
        <v/>
      </c>
      <c r="S94" s="11" t="str">
        <f>IF(OR(AND(ISNUMBER(G94),G94&lt;0),AND(ISNUMBER(H94),H94&lt;0)),"VIOLATED - later response unreliable",IF(COUNT(G94:H94)=2,"No negative predicted (estimate)","Not entered / incomplete"))</f>
        <v>Not entered / incomplete</v>
      </c>
    </row>
    <row r="95" spans="1:19" ht="32" customHeight="1">
      <c r="A95" s="8" t="s">
        <v>108</v>
      </c>
      <c r="B95" s="10"/>
      <c r="C95" s="10"/>
      <c r="D95" s="10"/>
      <c r="E95" s="10"/>
      <c r="F95" s="10"/>
      <c r="G95" s="10"/>
      <c r="H95" s="10"/>
      <c r="I95" s="10"/>
      <c r="L95" s="10"/>
      <c r="O95" s="11">
        <f>IF(ISNUMBER(B95),B95*1000,"")</f>
        <v/>
      </c>
      <c r="P95" s="11">
        <f>IF(ISNUMBER(C95),C95*180/PI(),"")</f>
        <v/>
      </c>
      <c r="Q95" s="11">
        <f>IF(ISNUMBER(E95),E95*1000,"")</f>
        <v/>
      </c>
      <c r="R95" s="11">
        <f>IF(ISNUMBER(F95),F95*1000,"")</f>
        <v/>
      </c>
      <c r="S95" s="11" t="str">
        <f>IF(OR(AND(ISNUMBER(G95),G95&lt;0),AND(ISNUMBER(H95),H95&lt;0)),"VIOLATED - later response unreliable",IF(COUNT(G95:H95)=2,"No negative predicted (estimate)","Not entered / incomplete"))</f>
        <v>Not entered / incomplete</v>
      </c>
    </row>
    <row r="96" spans="1:19" ht="32" customHeight="1">
      <c r="A96" s="8" t="s">
        <v>109</v>
      </c>
      <c r="B96" s="10"/>
      <c r="C96" s="10"/>
      <c r="D96" s="10"/>
      <c r="E96" s="10"/>
      <c r="F96" s="10"/>
      <c r="G96" s="10"/>
      <c r="H96" s="10"/>
      <c r="I96" s="10"/>
      <c r="L96" s="10"/>
      <c r="O96" s="11">
        <f>IF(ISNUMBER(B96),B96*1000,"")</f>
        <v/>
      </c>
      <c r="P96" s="11">
        <f>IF(ISNUMBER(C96),C96*180/PI(),"")</f>
        <v/>
      </c>
      <c r="Q96" s="11">
        <f>IF(ISNUMBER(E96),E96*1000,"")</f>
        <v/>
      </c>
      <c r="R96" s="11">
        <f>IF(ISNUMBER(F96),F96*1000,"")</f>
        <v/>
      </c>
      <c r="S96" s="11" t="str">
        <f>IF(OR(AND(ISNUMBER(G96),G96&lt;0),AND(ISNUMBER(H96),H96&lt;0)),"VIOLATED - later response unreliable",IF(COUNT(G96:H96)=2,"No negative predicted (estimate)","Not entered / incomplete"))</f>
        <v>Not entered / incomplete</v>
      </c>
    </row>
    <row r="97" spans="1:19" ht="32" customHeight="1">
      <c r="A97" s="8" t="s">
        <v>110</v>
      </c>
      <c r="B97" s="10"/>
      <c r="C97" s="10"/>
      <c r="D97" s="10"/>
      <c r="E97" s="10"/>
      <c r="F97" s="10"/>
      <c r="G97" s="10"/>
      <c r="H97" s="10"/>
      <c r="I97" s="10"/>
      <c r="L97" s="10"/>
      <c r="O97" s="11">
        <f>IF(ISNUMBER(B97),B97*1000,"")</f>
        <v/>
      </c>
      <c r="P97" s="11">
        <f>IF(ISNUMBER(C97),C97*180/PI(),"")</f>
        <v/>
      </c>
      <c r="Q97" s="11">
        <f>IF(ISNUMBER(E97),E97*1000,"")</f>
        <v/>
      </c>
      <c r="R97" s="11">
        <f>IF(ISNUMBER(F97),F97*1000,"")</f>
        <v/>
      </c>
      <c r="S97" s="11" t="str">
        <f>IF(OR(AND(ISNUMBER(G97),G97&lt;0),AND(ISNUMBER(H97),H97&lt;0)),"VIOLATED - later response unreliable",IF(COUNT(G97:H97)=2,"No negative predicted (estimate)","Not entered / incomplete"))</f>
        <v>Not entered / incomplete</v>
      </c>
    </row>
    <row r="98" spans="1:19" ht="32" customHeight="1">
      <c r="A98" s="8" t="s">
        <v>111</v>
      </c>
      <c r="B98" s="10"/>
      <c r="C98" s="10"/>
      <c r="D98" s="10"/>
      <c r="E98" s="10"/>
      <c r="F98" s="10"/>
      <c r="G98" s="10"/>
      <c r="H98" s="10"/>
      <c r="I98" s="10"/>
      <c r="L98" s="10"/>
      <c r="O98" s="11">
        <f>IF(ISNUMBER(B98),B98*1000,"")</f>
        <v/>
      </c>
      <c r="P98" s="11">
        <f>IF(ISNUMBER(C98),C98*180/PI(),"")</f>
        <v/>
      </c>
      <c r="Q98" s="11">
        <f>IF(ISNUMBER(E98),E98*1000,"")</f>
        <v/>
      </c>
      <c r="R98" s="11">
        <f>IF(ISNUMBER(F98),F98*1000,"")</f>
        <v/>
      </c>
      <c r="S98" s="11" t="str">
        <f>IF(OR(AND(ISNUMBER(G98),G98&lt;0),AND(ISNUMBER(H98),H98&lt;0)),"VIOLATED - later response unreliable",IF(COUNT(G98:H98)=2,"No negative predicted (estimate)","Not entered / incomplete"))</f>
        <v>Not entered / incomplete</v>
      </c>
    </row>
    <row r="99" spans="1:19" ht="32" customHeight="1">
      <c r="A99" s="8" t="s">
        <v>112</v>
      </c>
      <c r="B99" s="10"/>
      <c r="C99" s="10"/>
      <c r="D99" s="10"/>
      <c r="E99" s="10"/>
      <c r="F99" s="10"/>
      <c r="G99" s="10"/>
      <c r="H99" s="10"/>
      <c r="I99" s="10"/>
      <c r="L99" s="10"/>
      <c r="O99" s="11">
        <f>IF(ISNUMBER(B99),B99*1000,"")</f>
        <v/>
      </c>
      <c r="P99" s="11">
        <f>IF(ISNUMBER(C99),C99*180/PI(),"")</f>
        <v/>
      </c>
      <c r="Q99" s="11">
        <f>IF(ISNUMBER(E99),E99*1000,"")</f>
        <v/>
      </c>
      <c r="R99" s="11">
        <f>IF(ISNUMBER(F99),F99*1000,"")</f>
        <v/>
      </c>
      <c r="S99" s="11" t="str">
        <f>IF(OR(AND(ISNUMBER(G99),G99&lt;0),AND(ISNUMBER(H99),H99&lt;0)),"VIOLATED - later response unreliable",IF(COUNT(G99:H99)=2,"No negative predicted (estimate)","Not entered / incomplete"))</f>
        <v>Not entered / incomplete</v>
      </c>
    </row>
    <row r="100" spans="1:19" ht="32" customHeight="1">
      <c r="A100" s="8" t="s">
        <v>113</v>
      </c>
      <c r="B100" s="10"/>
      <c r="C100" s="10"/>
      <c r="D100" s="10"/>
      <c r="E100" s="10"/>
      <c r="F100" s="10"/>
      <c r="G100" s="10"/>
      <c r="H100" s="10"/>
      <c r="I100" s="10"/>
      <c r="L100" s="10"/>
      <c r="O100" s="11">
        <f>IF(ISNUMBER(B100),B100*1000,"")</f>
        <v/>
      </c>
      <c r="P100" s="11">
        <f>IF(ISNUMBER(C100),C100*180/PI(),"")</f>
        <v/>
      </c>
      <c r="Q100" s="11">
        <f>IF(ISNUMBER(E100),E100*1000,"")</f>
        <v/>
      </c>
      <c r="R100" s="11">
        <f>IF(ISNUMBER(F100),F100*1000,"")</f>
        <v/>
      </c>
      <c r="S100" s="11" t="str">
        <f>IF(OR(AND(ISNUMBER(G100),G100&lt;0),AND(ISNUMBER(H100),H100&lt;0)),"VIOLATED - later response unreliable",IF(COUNT(G100:H100)=2,"No negative predicted (estimate)","Not entered / incomplete"))</f>
        <v>Not entered / incomplete</v>
      </c>
    </row>
    <row r="101" spans="1:19" ht="32" customHeight="1">
      <c r="A101" s="8" t="s">
        <v>114</v>
      </c>
      <c r="B101" s="10"/>
      <c r="C101" s="10"/>
      <c r="D101" s="10"/>
      <c r="E101" s="10"/>
      <c r="F101" s="10"/>
      <c r="G101" s="10"/>
      <c r="H101" s="10"/>
      <c r="I101" s="10"/>
      <c r="L101" s="10"/>
      <c r="O101" s="11">
        <f>IF(ISNUMBER(B101),B101*1000,"")</f>
        <v/>
      </c>
      <c r="P101" s="11">
        <f>IF(ISNUMBER(C101),C101*180/PI(),"")</f>
        <v/>
      </c>
      <c r="Q101" s="11">
        <f>IF(ISNUMBER(E101),E101*1000,"")</f>
        <v/>
      </c>
      <c r="R101" s="11">
        <f>IF(ISNUMBER(F101),F101*1000,"")</f>
        <v/>
      </c>
      <c r="S101" s="11" t="str">
        <f>IF(OR(AND(ISNUMBER(G101),G101&lt;0),AND(ISNUMBER(H101),H101&lt;0)),"VIOLATED - later response unreliable",IF(COUNT(G101:H101)=2,"No negative predicted (estimate)","Not entered / incomplete"))</f>
        <v>Not entered / incomplete</v>
      </c>
    </row>
    <row r="102" spans="1:19" ht="32" customHeight="1">
      <c r="A102" s="8" t="s">
        <v>115</v>
      </c>
      <c r="B102" s="10"/>
      <c r="C102" s="10"/>
      <c r="D102" s="10"/>
      <c r="E102" s="10"/>
      <c r="F102" s="10"/>
      <c r="G102" s="10"/>
      <c r="H102" s="10"/>
      <c r="I102" s="10"/>
      <c r="L102" s="10"/>
      <c r="O102" s="11">
        <f>IF(ISNUMBER(B102),B102*1000,"")</f>
        <v/>
      </c>
      <c r="P102" s="11">
        <f>IF(ISNUMBER(C102),C102*180/PI(),"")</f>
        <v/>
      </c>
      <c r="Q102" s="11">
        <f>IF(ISNUMBER(E102),E102*1000,"")</f>
        <v/>
      </c>
      <c r="R102" s="11">
        <f>IF(ISNUMBER(F102),F102*1000,"")</f>
        <v/>
      </c>
      <c r="S102" s="11" t="str">
        <f>IF(OR(AND(ISNUMBER(G102),G102&lt;0),AND(ISNUMBER(H102),H102&lt;0)),"VIOLATED - later response unreliable",IF(COUNT(G102:H102)=2,"No negative predicted (estimate)","Not entered / incomplete"))</f>
        <v>Not entered / incomplete</v>
      </c>
    </row>
    <row r="103" spans="1:19" ht="32" customHeight="1">
      <c r="A103" s="8" t="s">
        <v>116</v>
      </c>
      <c r="B103" s="10"/>
      <c r="C103" s="10"/>
      <c r="D103" s="10"/>
      <c r="E103" s="10"/>
      <c r="F103" s="10"/>
      <c r="G103" s="10"/>
      <c r="H103" s="10"/>
      <c r="I103" s="10"/>
      <c r="L103" s="10"/>
      <c r="O103" s="11">
        <f>IF(ISNUMBER(B103),B103*1000,"")</f>
        <v/>
      </c>
      <c r="P103" s="11">
        <f>IF(ISNUMBER(C103),C103*180/PI(),"")</f>
        <v/>
      </c>
      <c r="Q103" s="11">
        <f>IF(ISNUMBER(E103),E103*1000,"")</f>
        <v/>
      </c>
      <c r="R103" s="11">
        <f>IF(ISNUMBER(F103),F103*1000,"")</f>
        <v/>
      </c>
      <c r="S103" s="11" t="str">
        <f>IF(OR(AND(ISNUMBER(G103),G103&lt;0),AND(ISNUMBER(H103),H103&lt;0)),"VIOLATED - later response unreliable",IF(COUNT(G103:H103)=2,"No negative predicted (estimate)","Not entered / incomplete"))</f>
        <v>Not entered / incomplete</v>
      </c>
    </row>
    <row r="104" spans="1:19" ht="32" customHeight="1">
      <c r="A104" s="8" t="s">
        <v>117</v>
      </c>
      <c r="B104" s="10"/>
      <c r="C104" s="10"/>
      <c r="D104" s="10"/>
      <c r="E104" s="10"/>
      <c r="F104" s="10"/>
      <c r="G104" s="10"/>
      <c r="H104" s="10"/>
      <c r="I104" s="10"/>
      <c r="L104" s="10"/>
      <c r="O104" s="11">
        <f>IF(ISNUMBER(B104),B104*1000,"")</f>
        <v/>
      </c>
      <c r="P104" s="11">
        <f>IF(ISNUMBER(C104),C104*180/PI(),"")</f>
        <v/>
      </c>
      <c r="Q104" s="11">
        <f>IF(ISNUMBER(E104),E104*1000,"")</f>
        <v/>
      </c>
      <c r="R104" s="11">
        <f>IF(ISNUMBER(F104),F104*1000,"")</f>
        <v/>
      </c>
      <c r="S104" s="11" t="str">
        <f>IF(OR(AND(ISNUMBER(G104),G104&lt;0),AND(ISNUMBER(H104),H104&lt;0)),"VIOLATED - later response unreliable",IF(COUNT(G104:H104)=2,"No negative predicted (estimate)","Not entered / incomplete"))</f>
        <v>Not entered / incomplete</v>
      </c>
    </row>
    <row r="105" spans="1:19" ht="32" customHeight="1">
      <c r="A105" s="8" t="s">
        <v>118</v>
      </c>
      <c r="B105" s="10"/>
      <c r="C105" s="10"/>
      <c r="D105" s="10"/>
      <c r="E105" s="10"/>
      <c r="F105" s="10"/>
      <c r="G105" s="10"/>
      <c r="H105" s="10"/>
      <c r="I105" s="10"/>
      <c r="L105" s="10"/>
      <c r="O105" s="11">
        <f>IF(ISNUMBER(B105),B105*1000,"")</f>
        <v/>
      </c>
      <c r="P105" s="11">
        <f>IF(ISNUMBER(C105),C105*180/PI(),"")</f>
        <v/>
      </c>
      <c r="Q105" s="11">
        <f>IF(ISNUMBER(E105),E105*1000,"")</f>
        <v/>
      </c>
      <c r="R105" s="11">
        <f>IF(ISNUMBER(F105),F105*1000,"")</f>
        <v/>
      </c>
      <c r="S105" s="11" t="str">
        <f>IF(OR(AND(ISNUMBER(G105),G105&lt;0),AND(ISNUMBER(H105),H105&lt;0)),"VIOLATED - later response unreliable",IF(COUNT(G105:H105)=2,"No negative predicted (estimate)","Not entered / incomplete"))</f>
        <v>Not entered / incomplete</v>
      </c>
    </row>
    <row r="106" spans="1:19" ht="32" customHeight="1">
      <c r="A106" s="8" t="s">
        <v>119</v>
      </c>
      <c r="B106" s="10"/>
      <c r="C106" s="10"/>
      <c r="D106" s="10"/>
      <c r="E106" s="10"/>
      <c r="F106" s="10"/>
      <c r="G106" s="10"/>
      <c r="H106" s="10"/>
      <c r="I106" s="10"/>
      <c r="L106" s="10"/>
      <c r="O106" s="11">
        <f>IF(ISNUMBER(B106),B106*1000,"")</f>
        <v/>
      </c>
      <c r="P106" s="11">
        <f>IF(ISNUMBER(C106),C106*180/PI(),"")</f>
        <v/>
      </c>
      <c r="Q106" s="11">
        <f>IF(ISNUMBER(E106),E106*1000,"")</f>
        <v/>
      </c>
      <c r="R106" s="11">
        <f>IF(ISNUMBER(F106),F106*1000,"")</f>
        <v/>
      </c>
      <c r="S106" s="11" t="str">
        <f>IF(OR(AND(ISNUMBER(G106),G106&lt;0),AND(ISNUMBER(H106),H106&lt;0)),"VIOLATED - later response unreliable",IF(COUNT(G106:H106)=2,"No negative predicted (estimate)","Not entered / incomplete"))</f>
        <v>Not entered / incomplete</v>
      </c>
    </row>
    <row r="107" spans="1:19" ht="32" customHeight="1">
      <c r="A107" s="8" t="s">
        <v>120</v>
      </c>
      <c r="B107" s="10"/>
      <c r="C107" s="10"/>
      <c r="D107" s="10"/>
      <c r="E107" s="10"/>
      <c r="F107" s="10"/>
      <c r="G107" s="10"/>
      <c r="H107" s="10"/>
      <c r="I107" s="10"/>
      <c r="L107" s="10"/>
      <c r="O107" s="11">
        <f>IF(ISNUMBER(B107),B107*1000,"")</f>
        <v/>
      </c>
      <c r="P107" s="11">
        <f>IF(ISNUMBER(C107),C107*180/PI(),"")</f>
        <v/>
      </c>
      <c r="Q107" s="11">
        <f>IF(ISNUMBER(E107),E107*1000,"")</f>
        <v/>
      </c>
      <c r="R107" s="11">
        <f>IF(ISNUMBER(F107),F107*1000,"")</f>
        <v/>
      </c>
      <c r="S107" s="11" t="str">
        <f>IF(OR(AND(ISNUMBER(G107),G107&lt;0),AND(ISNUMBER(H107),H107&lt;0)),"VIOLATED - later response unreliable",IF(COUNT(G107:H107)=2,"No negative predicted (estimate)","Not entered / incomplete"))</f>
        <v>Not entered / incomplete</v>
      </c>
    </row>
    <row r="108" spans="1:19" ht="32" customHeight="1">
      <c r="A108" s="8" t="s">
        <v>121</v>
      </c>
      <c r="B108" s="10"/>
      <c r="C108" s="10"/>
      <c r="D108" s="10"/>
      <c r="E108" s="10"/>
      <c r="F108" s="10"/>
      <c r="G108" s="10"/>
      <c r="H108" s="10"/>
      <c r="I108" s="10"/>
      <c r="L108" s="10"/>
      <c r="O108" s="11">
        <f>IF(ISNUMBER(B108),B108*1000,"")</f>
        <v/>
      </c>
      <c r="P108" s="11">
        <f>IF(ISNUMBER(C108),C108*180/PI(),"")</f>
        <v/>
      </c>
      <c r="Q108" s="11">
        <f>IF(ISNUMBER(E108),E108*1000,"")</f>
        <v/>
      </c>
      <c r="R108" s="11">
        <f>IF(ISNUMBER(F108),F108*1000,"")</f>
        <v/>
      </c>
      <c r="S108" s="11" t="str">
        <f>IF(OR(AND(ISNUMBER(G108),G108&lt;0),AND(ISNUMBER(H108),H108&lt;0)),"VIOLATED - later response unreliable",IF(COUNT(G108:H108)=2,"No negative predicted (estimate)","Not entered / incomplete"))</f>
        <v>Not entered / incomplete</v>
      </c>
    </row>
    <row r="109" spans="1:19" ht="32" customHeight="1">
      <c r="A109" s="8" t="s">
        <v>122</v>
      </c>
      <c r="B109" s="10"/>
      <c r="C109" s="10"/>
      <c r="D109" s="10"/>
      <c r="E109" s="10"/>
      <c r="F109" s="10"/>
      <c r="G109" s="10"/>
      <c r="H109" s="10"/>
      <c r="I109" s="10"/>
      <c r="L109" s="10"/>
      <c r="O109" s="11">
        <f>IF(ISNUMBER(B109),B109*1000,"")</f>
        <v/>
      </c>
      <c r="P109" s="11">
        <f>IF(ISNUMBER(C109),C109*180/PI(),"")</f>
        <v/>
      </c>
      <c r="Q109" s="11">
        <f>IF(ISNUMBER(E109),E109*1000,"")</f>
        <v/>
      </c>
      <c r="R109" s="11">
        <f>IF(ISNUMBER(F109),F109*1000,"")</f>
        <v/>
      </c>
      <c r="S109" s="11" t="str">
        <f>IF(OR(AND(ISNUMBER(G109),G109&lt;0),AND(ISNUMBER(H109),H109&lt;0)),"VIOLATED - later response unreliable",IF(COUNT(G109:H109)=2,"No negative predicted (estimate)","Not entered / incomplete"))</f>
        <v>Not entered / incomplete</v>
      </c>
    </row>
    <row r="110" spans="1:19" ht="32" customHeight="1">
      <c r="A110" s="8" t="s">
        <v>123</v>
      </c>
      <c r="B110" s="10"/>
      <c r="C110" s="10"/>
      <c r="D110" s="10"/>
      <c r="E110" s="10"/>
      <c r="F110" s="10"/>
      <c r="G110" s="10"/>
      <c r="H110" s="10"/>
      <c r="I110" s="10"/>
      <c r="L110" s="10"/>
      <c r="O110" s="11">
        <f>IF(ISNUMBER(B110),B110*1000,"")</f>
        <v/>
      </c>
      <c r="P110" s="11">
        <f>IF(ISNUMBER(C110),C110*180/PI(),"")</f>
        <v/>
      </c>
      <c r="Q110" s="11">
        <f>IF(ISNUMBER(E110),E110*1000,"")</f>
        <v/>
      </c>
      <c r="R110" s="11">
        <f>IF(ISNUMBER(F110),F110*1000,"")</f>
        <v/>
      </c>
      <c r="S110" s="11" t="str">
        <f>IF(OR(AND(ISNUMBER(G110),G110&lt;0),AND(ISNUMBER(H110),H110&lt;0)),"VIOLATED - later response unreliable",IF(COUNT(G110:H110)=2,"No negative predicted (estimate)","Not entered / incomplete"))</f>
        <v>Not entered / incomplete</v>
      </c>
    </row>
    <row r="111" spans="1:19" ht="32" customHeight="1">
      <c r="A111" s="8" t="s">
        <v>124</v>
      </c>
      <c r="B111" s="10"/>
      <c r="C111" s="10"/>
      <c r="D111" s="10"/>
      <c r="E111" s="10"/>
      <c r="F111" s="10"/>
      <c r="G111" s="10"/>
      <c r="H111" s="10"/>
      <c r="I111" s="10"/>
      <c r="L111" s="10"/>
      <c r="O111" s="11">
        <f>IF(ISNUMBER(B111),B111*1000,"")</f>
        <v/>
      </c>
      <c r="P111" s="11">
        <f>IF(ISNUMBER(C111),C111*180/PI(),"")</f>
        <v/>
      </c>
      <c r="Q111" s="11">
        <f>IF(ISNUMBER(E111),E111*1000,"")</f>
        <v/>
      </c>
      <c r="R111" s="11">
        <f>IF(ISNUMBER(F111),F111*1000,"")</f>
        <v/>
      </c>
      <c r="S111" s="11" t="str">
        <f>IF(OR(AND(ISNUMBER(G111),G111&lt;0),AND(ISNUMBER(H111),H111&lt;0)),"VIOLATED - later response unreliable",IF(COUNT(G111:H111)=2,"No negative predicted (estimate)","Not entered / incomplete"))</f>
        <v>Not entered / incomplete</v>
      </c>
    </row>
    <row r="112" spans="1:19" ht="32" customHeight="1">
      <c r="A112" s="8" t="s">
        <v>125</v>
      </c>
      <c r="B112" s="10"/>
      <c r="C112" s="10"/>
      <c r="D112" s="10"/>
      <c r="E112" s="10"/>
      <c r="F112" s="10"/>
      <c r="G112" s="10"/>
      <c r="H112" s="10"/>
      <c r="I112" s="10"/>
      <c r="L112" s="10"/>
      <c r="O112" s="11">
        <f>IF(ISNUMBER(B112),B112*1000,"")</f>
        <v/>
      </c>
      <c r="P112" s="11">
        <f>IF(ISNUMBER(C112),C112*180/PI(),"")</f>
        <v/>
      </c>
      <c r="Q112" s="11">
        <f>IF(ISNUMBER(E112),E112*1000,"")</f>
        <v/>
      </c>
      <c r="R112" s="11">
        <f>IF(ISNUMBER(F112),F112*1000,"")</f>
        <v/>
      </c>
      <c r="S112" s="11" t="str">
        <f>IF(OR(AND(ISNUMBER(G112),G112&lt;0),AND(ISNUMBER(H112),H112&lt;0)),"VIOLATED - later response unreliable",IF(COUNT(G112:H112)=2,"No negative predicted (estimate)","Not entered / incomplete"))</f>
        <v>Not entered / incomplete</v>
      </c>
    </row>
    <row r="113" spans="1:19" ht="32" customHeight="1">
      <c r="A113" s="8" t="s">
        <v>126</v>
      </c>
      <c r="B113" s="10"/>
      <c r="C113" s="10"/>
      <c r="D113" s="10"/>
      <c r="E113" s="10"/>
      <c r="F113" s="10"/>
      <c r="G113" s="10"/>
      <c r="H113" s="10"/>
      <c r="I113" s="10"/>
      <c r="L113" s="10"/>
      <c r="O113" s="11">
        <f>IF(ISNUMBER(B113),B113*1000,"")</f>
        <v/>
      </c>
      <c r="P113" s="11">
        <f>IF(ISNUMBER(C113),C113*180/PI(),"")</f>
        <v/>
      </c>
      <c r="Q113" s="11">
        <f>IF(ISNUMBER(E113),E113*1000,"")</f>
        <v/>
      </c>
      <c r="R113" s="11">
        <f>IF(ISNUMBER(F113),F113*1000,"")</f>
        <v/>
      </c>
      <c r="S113" s="11" t="str">
        <f>IF(OR(AND(ISNUMBER(G113),G113&lt;0),AND(ISNUMBER(H113),H113&lt;0)),"VIOLATED - later response unreliable",IF(COUNT(G113:H113)=2,"No negative predicted (estimate)","Not entered / incomplete"))</f>
        <v>Not entered / incomplete</v>
      </c>
    </row>
    <row r="114" spans="1:19" ht="32" customHeight="1">
      <c r="A114" s="8" t="s">
        <v>127</v>
      </c>
      <c r="B114" s="10"/>
      <c r="C114" s="10"/>
      <c r="D114" s="10"/>
      <c r="E114" s="10"/>
      <c r="F114" s="10"/>
      <c r="G114" s="10"/>
      <c r="H114" s="10"/>
      <c r="I114" s="10"/>
      <c r="L114" s="10"/>
      <c r="O114" s="11">
        <f>IF(ISNUMBER(B114),B114*1000,"")</f>
        <v/>
      </c>
      <c r="P114" s="11">
        <f>IF(ISNUMBER(C114),C114*180/PI(),"")</f>
        <v/>
      </c>
      <c r="Q114" s="11">
        <f>IF(ISNUMBER(E114),E114*1000,"")</f>
        <v/>
      </c>
      <c r="R114" s="11">
        <f>IF(ISNUMBER(F114),F114*1000,"")</f>
        <v/>
      </c>
      <c r="S114" s="11" t="str">
        <f>IF(OR(AND(ISNUMBER(G114),G114&lt;0),AND(ISNUMBER(H114),H114&lt;0)),"VIOLATED - later response unreliable",IF(COUNT(G114:H114)=2,"No negative predicted (estimate)","Not entered / incomplete"))</f>
        <v>Not entered / incomplete</v>
      </c>
    </row>
    <row r="115" spans="1:19" ht="32" customHeight="1">
      <c r="A115" s="8" t="s">
        <v>128</v>
      </c>
      <c r="B115" s="10"/>
      <c r="C115" s="10"/>
      <c r="D115" s="10"/>
      <c r="E115" s="10"/>
      <c r="F115" s="10"/>
      <c r="G115" s="10"/>
      <c r="H115" s="10"/>
      <c r="I115" s="10"/>
      <c r="L115" s="10"/>
      <c r="O115" s="11">
        <f>IF(ISNUMBER(B115),B115*1000,"")</f>
        <v/>
      </c>
      <c r="P115" s="11">
        <f>IF(ISNUMBER(C115),C115*180/PI(),"")</f>
        <v/>
      </c>
      <c r="Q115" s="11">
        <f>IF(ISNUMBER(E115),E115*1000,"")</f>
        <v/>
      </c>
      <c r="R115" s="11">
        <f>IF(ISNUMBER(F115),F115*1000,"")</f>
        <v/>
      </c>
      <c r="S115" s="11" t="str">
        <f>IF(OR(AND(ISNUMBER(G115),G115&lt;0),AND(ISNUMBER(H115),H115&lt;0)),"VIOLATED - later response unreliable",IF(COUNT(G115:H115)=2,"No negative predicted (estimate)","Not entered / incomplete"))</f>
        <v>Not entered / incomplete</v>
      </c>
    </row>
    <row r="116" spans="1:19" ht="32" customHeight="1">
      <c r="A116" s="8" t="s">
        <v>129</v>
      </c>
      <c r="B116" s="10"/>
      <c r="C116" s="10"/>
      <c r="D116" s="10"/>
      <c r="E116" s="10"/>
      <c r="F116" s="10"/>
      <c r="G116" s="10"/>
      <c r="H116" s="10"/>
      <c r="I116" s="10"/>
      <c r="L116" s="10"/>
      <c r="O116" s="11">
        <f>IF(ISNUMBER(B116),B116*1000,"")</f>
        <v/>
      </c>
      <c r="P116" s="11">
        <f>IF(ISNUMBER(C116),C116*180/PI(),"")</f>
        <v/>
      </c>
      <c r="Q116" s="11">
        <f>IF(ISNUMBER(E116),E116*1000,"")</f>
        <v/>
      </c>
      <c r="R116" s="11">
        <f>IF(ISNUMBER(F116),F116*1000,"")</f>
        <v/>
      </c>
      <c r="S116" s="11" t="str">
        <f>IF(OR(AND(ISNUMBER(G116),G116&lt;0),AND(ISNUMBER(H116),H116&lt;0)),"VIOLATED - later response unreliable",IF(COUNT(G116:H116)=2,"No negative predicted (estimate)","Not entered / incomplete"))</f>
        <v>Not entered / incomplete</v>
      </c>
    </row>
    <row r="117" spans="1:19" ht="32" customHeight="1">
      <c r="A117" s="8" t="s">
        <v>130</v>
      </c>
      <c r="B117" s="10"/>
      <c r="C117" s="10"/>
      <c r="D117" s="10"/>
      <c r="E117" s="10"/>
      <c r="F117" s="10"/>
      <c r="G117" s="10"/>
      <c r="H117" s="10"/>
      <c r="I117" s="10"/>
      <c r="L117" s="10"/>
      <c r="O117" s="11">
        <f>IF(ISNUMBER(B117),B117*1000,"")</f>
        <v/>
      </c>
      <c r="P117" s="11">
        <f>IF(ISNUMBER(C117),C117*180/PI(),"")</f>
        <v/>
      </c>
      <c r="Q117" s="11">
        <f>IF(ISNUMBER(E117),E117*1000,"")</f>
        <v/>
      </c>
      <c r="R117" s="11">
        <f>IF(ISNUMBER(F117),F117*1000,"")</f>
        <v/>
      </c>
      <c r="S117" s="11" t="str">
        <f>IF(OR(AND(ISNUMBER(G117),G117&lt;0),AND(ISNUMBER(H117),H117&lt;0)),"VIOLATED - later response unreliable",IF(COUNT(G117:H117)=2,"No negative predicted (estimate)","Not entered / incomplete"))</f>
        <v>Not entered / incomplete</v>
      </c>
    </row>
    <row r="118" spans="1:19" ht="32" customHeight="1">
      <c r="A118" s="8" t="s">
        <v>131</v>
      </c>
      <c r="B118" s="10"/>
      <c r="C118" s="10"/>
      <c r="D118" s="10"/>
      <c r="E118" s="10"/>
      <c r="F118" s="10"/>
      <c r="G118" s="10"/>
      <c r="H118" s="10"/>
      <c r="I118" s="10"/>
      <c r="L118" s="10"/>
      <c r="O118" s="11">
        <f>IF(ISNUMBER(B118),B118*1000,"")</f>
        <v/>
      </c>
      <c r="P118" s="11">
        <f>IF(ISNUMBER(C118),C118*180/PI(),"")</f>
        <v/>
      </c>
      <c r="Q118" s="11">
        <f>IF(ISNUMBER(E118),E118*1000,"")</f>
        <v/>
      </c>
      <c r="R118" s="11">
        <f>IF(ISNUMBER(F118),F118*1000,"")</f>
        <v/>
      </c>
      <c r="S118" s="11" t="str">
        <f>IF(OR(AND(ISNUMBER(G118),G118&lt;0),AND(ISNUMBER(H118),H118&lt;0)),"VIOLATED - later response unreliable",IF(COUNT(G118:H118)=2,"No negative predicted (estimate)","Not entered / incomplete"))</f>
        <v>Not entered / incomplete</v>
      </c>
    </row>
    <row r="119" spans="1:19" ht="32" customHeight="1">
      <c r="A119" s="8" t="s">
        <v>132</v>
      </c>
      <c r="B119" s="10"/>
      <c r="C119" s="10"/>
      <c r="D119" s="10"/>
      <c r="E119" s="10"/>
      <c r="F119" s="10"/>
      <c r="G119" s="10"/>
      <c r="H119" s="10"/>
      <c r="I119" s="10"/>
      <c r="L119" s="10"/>
      <c r="O119" s="11">
        <f>IF(ISNUMBER(B119),B119*1000,"")</f>
        <v/>
      </c>
      <c r="P119" s="11">
        <f>IF(ISNUMBER(C119),C119*180/PI(),"")</f>
        <v/>
      </c>
      <c r="Q119" s="11">
        <f>IF(ISNUMBER(E119),E119*1000,"")</f>
        <v/>
      </c>
      <c r="R119" s="11">
        <f>IF(ISNUMBER(F119),F119*1000,"")</f>
        <v/>
      </c>
      <c r="S119" s="11" t="str">
        <f>IF(OR(AND(ISNUMBER(G119),G119&lt;0),AND(ISNUMBER(H119),H119&lt;0)),"VIOLATED - later response unreliable",IF(COUNT(G119:H119)=2,"No negative predicted (estimate)","Not entered / incomplete"))</f>
        <v>Not entered / incomplete</v>
      </c>
    </row>
    <row r="120" spans="1:19" ht="32" customHeight="1">
      <c r="A120" s="8" t="s">
        <v>133</v>
      </c>
      <c r="B120" s="10"/>
      <c r="C120" s="10"/>
      <c r="D120" s="10"/>
      <c r="E120" s="10"/>
      <c r="F120" s="10"/>
      <c r="G120" s="10"/>
      <c r="H120" s="10"/>
      <c r="I120" s="10"/>
      <c r="L120" s="10"/>
      <c r="O120" s="11">
        <f>IF(ISNUMBER(B120),B120*1000,"")</f>
        <v/>
      </c>
      <c r="P120" s="11">
        <f>IF(ISNUMBER(C120),C120*180/PI(),"")</f>
        <v/>
      </c>
      <c r="Q120" s="11">
        <f>IF(ISNUMBER(E120),E120*1000,"")</f>
        <v/>
      </c>
      <c r="R120" s="11">
        <f>IF(ISNUMBER(F120),F120*1000,"")</f>
        <v/>
      </c>
      <c r="S120" s="11" t="str">
        <f>IF(OR(AND(ISNUMBER(G120),G120&lt;0),AND(ISNUMBER(H120),H120&lt;0)),"VIOLATED - later response unreliable",IF(COUNT(G120:H120)=2,"No negative predicted (estimate)","Not entered / incomplete"))</f>
        <v>Not entered / incomplete</v>
      </c>
    </row>
    <row r="121" spans="1:19" ht="32" customHeight="1">
      <c r="A121" s="8" t="s">
        <v>134</v>
      </c>
      <c r="B121" s="10"/>
      <c r="C121" s="10"/>
      <c r="D121" s="10"/>
      <c r="E121" s="10"/>
      <c r="F121" s="10"/>
      <c r="G121" s="10"/>
      <c r="H121" s="10"/>
      <c r="I121" s="10"/>
      <c r="L121" s="10"/>
      <c r="O121" s="11">
        <f>IF(ISNUMBER(B121),B121*1000,"")</f>
        <v/>
      </c>
      <c r="P121" s="11">
        <f>IF(ISNUMBER(C121),C121*180/PI(),"")</f>
        <v/>
      </c>
      <c r="Q121" s="11">
        <f>IF(ISNUMBER(E121),E121*1000,"")</f>
        <v/>
      </c>
      <c r="R121" s="11">
        <f>IF(ISNUMBER(F121),F121*1000,"")</f>
        <v/>
      </c>
      <c r="S121" s="11" t="str">
        <f>IF(OR(AND(ISNUMBER(G121),G121&lt;0),AND(ISNUMBER(H121),H121&lt;0)),"VIOLATED - later response unreliable",IF(COUNT(G121:H121)=2,"No negative predicted (estimate)","Not entered / incomplete"))</f>
        <v>Not entered / incomplete</v>
      </c>
    </row>
    <row r="122" spans="1:19" ht="32" customHeight="1">
      <c r="A122" s="8" t="s">
        <v>135</v>
      </c>
      <c r="B122" s="10"/>
      <c r="C122" s="10"/>
      <c r="D122" s="10"/>
      <c r="E122" s="10"/>
      <c r="F122" s="10"/>
      <c r="G122" s="10"/>
      <c r="H122" s="10"/>
      <c r="I122" s="10"/>
      <c r="L122" s="10"/>
      <c r="O122" s="11">
        <f>IF(ISNUMBER(B122),B122*1000,"")</f>
        <v/>
      </c>
      <c r="P122" s="11">
        <f>IF(ISNUMBER(C122),C122*180/PI(),"")</f>
        <v/>
      </c>
      <c r="Q122" s="11">
        <f>IF(ISNUMBER(E122),E122*1000,"")</f>
        <v/>
      </c>
      <c r="R122" s="11">
        <f>IF(ISNUMBER(F122),F122*1000,"")</f>
        <v/>
      </c>
      <c r="S122" s="11" t="str">
        <f>IF(OR(AND(ISNUMBER(G122),G122&lt;0),AND(ISNUMBER(H122),H122&lt;0)),"VIOLATED - later response unreliable",IF(COUNT(G122:H122)=2,"No negative predicted (estimate)","Not entered / incomplete"))</f>
        <v>Not entered / incomplete</v>
      </c>
    </row>
    <row r="123" spans="1:19" ht="32" customHeight="1">
      <c r="A123" s="8" t="s">
        <v>136</v>
      </c>
      <c r="B123" s="10"/>
      <c r="C123" s="10"/>
      <c r="D123" s="10"/>
      <c r="E123" s="10"/>
      <c r="F123" s="10"/>
      <c r="G123" s="10"/>
      <c r="H123" s="10"/>
      <c r="I123" s="10"/>
      <c r="L123" s="10"/>
      <c r="O123" s="11">
        <f>IF(ISNUMBER(B123),B123*1000,"")</f>
        <v/>
      </c>
      <c r="P123" s="11">
        <f>IF(ISNUMBER(C123),C123*180/PI(),"")</f>
        <v/>
      </c>
      <c r="Q123" s="11">
        <f>IF(ISNUMBER(E123),E123*1000,"")</f>
        <v/>
      </c>
      <c r="R123" s="11">
        <f>IF(ISNUMBER(F123),F123*1000,"")</f>
        <v/>
      </c>
      <c r="S123" s="11" t="str">
        <f>IF(OR(AND(ISNUMBER(G123),G123&lt;0),AND(ISNUMBER(H123),H123&lt;0)),"VIOLATED - later response unreliable",IF(COUNT(G123:H123)=2,"No negative predicted (estimate)","Not entered / incomplete"))</f>
        <v>Not entered / incomplete</v>
      </c>
    </row>
    <row r="124" spans="1:19" ht="32" customHeight="1">
      <c r="A124" s="8" t="s">
        <v>137</v>
      </c>
      <c r="B124" s="10"/>
      <c r="C124" s="10"/>
      <c r="D124" s="10"/>
      <c r="E124" s="10"/>
      <c r="F124" s="10"/>
      <c r="G124" s="10"/>
      <c r="H124" s="10"/>
      <c r="I124" s="10"/>
      <c r="L124" s="10"/>
      <c r="O124" s="11">
        <f>IF(ISNUMBER(B124),B124*1000,"")</f>
        <v/>
      </c>
      <c r="P124" s="11">
        <f>IF(ISNUMBER(C124),C124*180/PI(),"")</f>
        <v/>
      </c>
      <c r="Q124" s="11">
        <f>IF(ISNUMBER(E124),E124*1000,"")</f>
        <v/>
      </c>
      <c r="R124" s="11">
        <f>IF(ISNUMBER(F124),F124*1000,"")</f>
        <v/>
      </c>
      <c r="S124" s="11" t="str">
        <f>IF(OR(AND(ISNUMBER(G124),G124&lt;0),AND(ISNUMBER(H124),H124&lt;0)),"VIOLATED - later response unreliable",IF(COUNT(G124:H124)=2,"No negative predicted (estimate)","Not entered / incomplete"))</f>
        <v>Not entered / incomplete</v>
      </c>
    </row>
    <row r="125" spans="1:19" ht="32" customHeight="1">
      <c r="A125" s="8" t="s">
        <v>138</v>
      </c>
      <c r="B125" s="10"/>
      <c r="C125" s="10"/>
      <c r="D125" s="10"/>
      <c r="E125" s="10"/>
      <c r="F125" s="10"/>
      <c r="G125" s="10"/>
      <c r="H125" s="10"/>
      <c r="I125" s="10"/>
      <c r="L125" s="10"/>
      <c r="O125" s="11">
        <f>IF(ISNUMBER(B125),B125*1000,"")</f>
        <v/>
      </c>
      <c r="P125" s="11">
        <f>IF(ISNUMBER(C125),C125*180/PI(),"")</f>
        <v/>
      </c>
      <c r="Q125" s="11">
        <f>IF(ISNUMBER(E125),E125*1000,"")</f>
        <v/>
      </c>
      <c r="R125" s="11">
        <f>IF(ISNUMBER(F125),F125*1000,"")</f>
        <v/>
      </c>
      <c r="S125" s="11" t="str">
        <f>IF(OR(AND(ISNUMBER(G125),G125&lt;0),AND(ISNUMBER(H125),H125&lt;0)),"VIOLATED - later response unreliable",IF(COUNT(G125:H125)=2,"No negative predicted (estimate)","Not entered / incomplete"))</f>
        <v>Not entered / incomplete</v>
      </c>
    </row>
    <row r="126" spans="1:19" ht="32" customHeight="1">
      <c r="A126" s="8" t="s">
        <v>139</v>
      </c>
      <c r="B126" s="10"/>
      <c r="C126" s="10"/>
      <c r="D126" s="10"/>
      <c r="E126" s="10"/>
      <c r="F126" s="10"/>
      <c r="G126" s="10"/>
      <c r="H126" s="10"/>
      <c r="I126" s="10"/>
      <c r="L126" s="10"/>
      <c r="O126" s="11">
        <f>IF(ISNUMBER(B126),B126*1000,"")</f>
        <v/>
      </c>
      <c r="P126" s="11">
        <f>IF(ISNUMBER(C126),C126*180/PI(),"")</f>
        <v/>
      </c>
      <c r="Q126" s="11">
        <f>IF(ISNUMBER(E126),E126*1000,"")</f>
        <v/>
      </c>
      <c r="R126" s="11">
        <f>IF(ISNUMBER(F126),F126*1000,"")</f>
        <v/>
      </c>
      <c r="S126" s="11" t="str">
        <f>IF(OR(AND(ISNUMBER(G126),G126&lt;0),AND(ISNUMBER(H126),H126&lt;0)),"VIOLATED - later response unreliable",IF(COUNT(G126:H126)=2,"No negative predicted (estimate)","Not entered / incomplete"))</f>
        <v>Not entered / incomplete</v>
      </c>
    </row>
    <row r="127" spans="1:19" ht="32" customHeight="1">
      <c r="A127" s="8" t="s">
        <v>140</v>
      </c>
      <c r="B127" s="10"/>
      <c r="C127" s="10"/>
      <c r="D127" s="10"/>
      <c r="E127" s="10"/>
      <c r="F127" s="10"/>
      <c r="G127" s="10"/>
      <c r="H127" s="10"/>
      <c r="I127" s="10"/>
      <c r="L127" s="10"/>
      <c r="O127" s="11">
        <f>IF(ISNUMBER(B127),B127*1000,"")</f>
        <v/>
      </c>
      <c r="P127" s="11">
        <f>IF(ISNUMBER(C127),C127*180/PI(),"")</f>
        <v/>
      </c>
      <c r="Q127" s="11">
        <f>IF(ISNUMBER(E127),E127*1000,"")</f>
        <v/>
      </c>
      <c r="R127" s="11">
        <f>IF(ISNUMBER(F127),F127*1000,"")</f>
        <v/>
      </c>
      <c r="S127" s="11" t="str">
        <f>IF(OR(AND(ISNUMBER(G127),G127&lt;0),AND(ISNUMBER(H127),H127&lt;0)),"VIOLATED - later response unreliable",IF(COUNT(G127:H127)=2,"No negative predicted (estimate)","Not entered / incomplete"))</f>
        <v>Not entered / incomplete</v>
      </c>
    </row>
    <row r="128" spans="1:19" ht="32" customHeight="1">
      <c r="A128" s="8" t="s">
        <v>141</v>
      </c>
      <c r="B128" s="10"/>
      <c r="C128" s="10"/>
      <c r="D128" s="10"/>
      <c r="E128" s="10"/>
      <c r="F128" s="10"/>
      <c r="G128" s="10"/>
      <c r="H128" s="10"/>
      <c r="I128" s="10"/>
      <c r="L128" s="10"/>
      <c r="O128" s="11">
        <f>IF(ISNUMBER(B128),B128*1000,"")</f>
        <v/>
      </c>
      <c r="P128" s="11">
        <f>IF(ISNUMBER(C128),C128*180/PI(),"")</f>
        <v/>
      </c>
      <c r="Q128" s="11">
        <f>IF(ISNUMBER(E128),E128*1000,"")</f>
        <v/>
      </c>
      <c r="R128" s="11">
        <f>IF(ISNUMBER(F128),F128*1000,"")</f>
        <v/>
      </c>
      <c r="S128" s="11" t="str">
        <f>IF(OR(AND(ISNUMBER(G128),G128&lt;0),AND(ISNUMBER(H128),H128&lt;0)),"VIOLATED - later response unreliable",IF(COUNT(G128:H128)=2,"No negative predicted (estimate)","Not entered / incomplete"))</f>
        <v>Not entered / incomplete</v>
      </c>
    </row>
    <row r="129" spans="1:19" ht="32" customHeight="1">
      <c r="A129" s="8" t="s">
        <v>142</v>
      </c>
      <c r="B129" s="10"/>
      <c r="C129" s="10"/>
      <c r="D129" s="10"/>
      <c r="E129" s="10"/>
      <c r="F129" s="10"/>
      <c r="G129" s="10"/>
      <c r="H129" s="10"/>
      <c r="I129" s="10"/>
      <c r="L129" s="10"/>
      <c r="O129" s="11">
        <f>IF(ISNUMBER(B129),B129*1000,"")</f>
        <v/>
      </c>
      <c r="P129" s="11">
        <f>IF(ISNUMBER(C129),C129*180/PI(),"")</f>
        <v/>
      </c>
      <c r="Q129" s="11">
        <f>IF(ISNUMBER(E129),E129*1000,"")</f>
        <v/>
      </c>
      <c r="R129" s="11">
        <f>IF(ISNUMBER(F129),F129*1000,"")</f>
        <v/>
      </c>
      <c r="S129" s="11" t="str">
        <f>IF(OR(AND(ISNUMBER(G129),G129&lt;0),AND(ISNUMBER(H129),H129&lt;0)),"VIOLATED - later response unreliable",IF(COUNT(G129:H129)=2,"No negative predicted (estimate)","Not entered / incomplete"))</f>
        <v>Not entered / incomplete</v>
      </c>
    </row>
    <row r="130" spans="1:19" ht="32" customHeight="1">
      <c r="A130" s="8" t="s">
        <v>143</v>
      </c>
      <c r="B130" s="10"/>
      <c r="C130" s="10"/>
      <c r="D130" s="10"/>
      <c r="E130" s="10"/>
      <c r="F130" s="10"/>
      <c r="G130" s="10"/>
      <c r="H130" s="10"/>
      <c r="I130" s="10"/>
      <c r="L130" s="10"/>
      <c r="O130" s="11">
        <f>IF(ISNUMBER(B130),B130*1000,"")</f>
        <v/>
      </c>
      <c r="P130" s="11">
        <f>IF(ISNUMBER(C130),C130*180/PI(),"")</f>
        <v/>
      </c>
      <c r="Q130" s="11">
        <f>IF(ISNUMBER(E130),E130*1000,"")</f>
        <v/>
      </c>
      <c r="R130" s="11">
        <f>IF(ISNUMBER(F130),F130*1000,"")</f>
        <v/>
      </c>
      <c r="S130" s="11" t="str">
        <f>IF(OR(AND(ISNUMBER(G130),G130&lt;0),AND(ISNUMBER(H130),H130&lt;0)),"VIOLATED - later response unreliable",IF(COUNT(G130:H130)=2,"No negative predicted (estimate)","Not entered / incomplete"))</f>
        <v>Not entered / incomplete</v>
      </c>
    </row>
    <row r="131" spans="1:19" ht="32" customHeight="1">
      <c r="A131" s="8" t="s">
        <v>144</v>
      </c>
      <c r="B131" s="10"/>
      <c r="C131" s="10"/>
      <c r="D131" s="10"/>
      <c r="E131" s="10"/>
      <c r="F131" s="10"/>
      <c r="G131" s="10"/>
      <c r="H131" s="10"/>
      <c r="I131" s="10"/>
      <c r="L131" s="10"/>
      <c r="O131" s="11">
        <f>IF(ISNUMBER(B131),B131*1000,"")</f>
        <v/>
      </c>
      <c r="P131" s="11">
        <f>IF(ISNUMBER(C131),C131*180/PI(),"")</f>
        <v/>
      </c>
      <c r="Q131" s="11">
        <f>IF(ISNUMBER(E131),E131*1000,"")</f>
        <v/>
      </c>
      <c r="R131" s="11">
        <f>IF(ISNUMBER(F131),F131*1000,"")</f>
        <v/>
      </c>
      <c r="S131" s="11" t="str">
        <f>IF(OR(AND(ISNUMBER(G131),G131&lt;0),AND(ISNUMBER(H131),H131&lt;0)),"VIOLATED - later response unreliable",IF(COUNT(G131:H131)=2,"No negative predicted (estimate)","Not entered / incomplete"))</f>
        <v>Not entered / incomplete</v>
      </c>
    </row>
    <row r="132" spans="1:19" ht="32" customHeight="1">
      <c r="A132" s="8" t="s">
        <v>145</v>
      </c>
      <c r="B132" s="10"/>
      <c r="C132" s="10"/>
      <c r="D132" s="10"/>
      <c r="E132" s="10"/>
      <c r="F132" s="10"/>
      <c r="G132" s="10"/>
      <c r="H132" s="10"/>
      <c r="I132" s="10"/>
      <c r="L132" s="10"/>
      <c r="O132" s="11">
        <f>IF(ISNUMBER(B132),B132*1000,"")</f>
        <v/>
      </c>
      <c r="P132" s="11">
        <f>IF(ISNUMBER(C132),C132*180/PI(),"")</f>
        <v/>
      </c>
      <c r="Q132" s="11">
        <f>IF(ISNUMBER(E132),E132*1000,"")</f>
        <v/>
      </c>
      <c r="R132" s="11">
        <f>IF(ISNUMBER(F132),F132*1000,"")</f>
        <v/>
      </c>
      <c r="S132" s="11" t="str">
        <f>IF(OR(AND(ISNUMBER(G132),G132&lt;0),AND(ISNUMBER(H132),H132&lt;0)),"VIOLATED - later response unreliable",IF(COUNT(G132:H132)=2,"No negative predicted (estimate)","Not entered / incomplete"))</f>
        <v>Not entered / incomplete</v>
      </c>
    </row>
    <row r="133" spans="1:19" ht="32" customHeight="1">
      <c r="A133" s="8" t="s">
        <v>146</v>
      </c>
      <c r="B133" s="10"/>
      <c r="C133" s="10"/>
      <c r="D133" s="10"/>
      <c r="E133" s="10"/>
      <c r="F133" s="10"/>
      <c r="G133" s="10"/>
      <c r="H133" s="10"/>
      <c r="I133" s="10"/>
      <c r="L133" s="10"/>
      <c r="O133" s="11">
        <f>IF(ISNUMBER(B133),B133*1000,"")</f>
        <v/>
      </c>
      <c r="P133" s="11">
        <f>IF(ISNUMBER(C133),C133*180/PI(),"")</f>
        <v/>
      </c>
      <c r="Q133" s="11">
        <f>IF(ISNUMBER(E133),E133*1000,"")</f>
        <v/>
      </c>
      <c r="R133" s="11">
        <f>IF(ISNUMBER(F133),F133*1000,"")</f>
        <v/>
      </c>
      <c r="S133" s="11" t="str">
        <f>IF(OR(AND(ISNUMBER(G133),G133&lt;0),AND(ISNUMBER(H133),H133&lt;0)),"VIOLATED - later response unreliable",IF(COUNT(G133:H133)=2,"No negative predicted (estimate)","Not entered / incomplete"))</f>
        <v>Not entered / incomplete</v>
      </c>
    </row>
    <row r="134" spans="1:19" ht="32" customHeight="1">
      <c r="A134" s="8" t="s">
        <v>147</v>
      </c>
      <c r="B134" s="10"/>
      <c r="C134" s="10"/>
      <c r="D134" s="10"/>
      <c r="E134" s="10"/>
      <c r="F134" s="10"/>
      <c r="G134" s="10"/>
      <c r="H134" s="10"/>
      <c r="I134" s="10"/>
      <c r="L134" s="10"/>
      <c r="O134" s="11">
        <f>IF(ISNUMBER(B134),B134*1000,"")</f>
        <v/>
      </c>
      <c r="P134" s="11">
        <f>IF(ISNUMBER(C134),C134*180/PI(),"")</f>
        <v/>
      </c>
      <c r="Q134" s="11">
        <f>IF(ISNUMBER(E134),E134*1000,"")</f>
        <v/>
      </c>
      <c r="R134" s="11">
        <f>IF(ISNUMBER(F134),F134*1000,"")</f>
        <v/>
      </c>
      <c r="S134" s="11" t="str">
        <f>IF(OR(AND(ISNUMBER(G134),G134&lt;0),AND(ISNUMBER(H134),H134&lt;0)),"VIOLATED - later response unreliable",IF(COUNT(G134:H134)=2,"No negative predicted (estimate)","Not entered / incomplete"))</f>
        <v>Not entered / incomplete</v>
      </c>
    </row>
    <row r="135" spans="1:19" ht="32" customHeight="1">
      <c r="A135" s="8" t="s">
        <v>148</v>
      </c>
      <c r="B135" s="10"/>
      <c r="C135" s="10"/>
      <c r="D135" s="10"/>
      <c r="E135" s="10"/>
      <c r="F135" s="10"/>
      <c r="G135" s="10"/>
      <c r="H135" s="10"/>
      <c r="I135" s="10"/>
      <c r="L135" s="10"/>
      <c r="O135" s="11">
        <f>IF(ISNUMBER(B135),B135*1000,"")</f>
        <v/>
      </c>
      <c r="P135" s="11">
        <f>IF(ISNUMBER(C135),C135*180/PI(),"")</f>
        <v/>
      </c>
      <c r="Q135" s="11">
        <f>IF(ISNUMBER(E135),E135*1000,"")</f>
        <v/>
      </c>
      <c r="R135" s="11">
        <f>IF(ISNUMBER(F135),F135*1000,"")</f>
        <v/>
      </c>
      <c r="S135" s="11" t="str">
        <f>IF(OR(AND(ISNUMBER(G135),G135&lt;0),AND(ISNUMBER(H135),H135&lt;0)),"VIOLATED - later response unreliable",IF(COUNT(G135:H135)=2,"No negative predicted (estimate)","Not entered / incomplete"))</f>
        <v>Not entered / incomplete</v>
      </c>
    </row>
    <row r="136" spans="1:19" ht="32" customHeight="1">
      <c r="A136" s="8" t="s">
        <v>149</v>
      </c>
      <c r="B136" s="10"/>
      <c r="C136" s="10"/>
      <c r="D136" s="10"/>
      <c r="E136" s="10"/>
      <c r="F136" s="10"/>
      <c r="G136" s="10"/>
      <c r="H136" s="10"/>
      <c r="I136" s="10"/>
      <c r="L136" s="10"/>
      <c r="O136" s="11">
        <f>IF(ISNUMBER(B136),B136*1000,"")</f>
        <v/>
      </c>
      <c r="P136" s="11">
        <f>IF(ISNUMBER(C136),C136*180/PI(),"")</f>
        <v/>
      </c>
      <c r="Q136" s="11">
        <f>IF(ISNUMBER(E136),E136*1000,"")</f>
        <v/>
      </c>
      <c r="R136" s="11">
        <f>IF(ISNUMBER(F136),F136*1000,"")</f>
        <v/>
      </c>
      <c r="S136" s="11" t="str">
        <f>IF(OR(AND(ISNUMBER(G136),G136&lt;0),AND(ISNUMBER(H136),H136&lt;0)),"VIOLATED - later response unreliable",IF(COUNT(G136:H136)=2,"No negative predicted (estimate)","Not entered / incomplete"))</f>
        <v>Not entered / incomplete</v>
      </c>
    </row>
    <row r="137" spans="1:19" ht="32" customHeight="1">
      <c r="A137" s="8" t="s">
        <v>150</v>
      </c>
      <c r="B137" s="10"/>
      <c r="C137" s="10"/>
      <c r="D137" s="10"/>
      <c r="E137" s="10"/>
      <c r="F137" s="10"/>
      <c r="G137" s="10"/>
      <c r="H137" s="10"/>
      <c r="I137" s="10"/>
      <c r="L137" s="10"/>
      <c r="O137" s="11">
        <f>IF(ISNUMBER(B137),B137*1000,"")</f>
        <v/>
      </c>
      <c r="P137" s="11">
        <f>IF(ISNUMBER(C137),C137*180/PI(),"")</f>
        <v/>
      </c>
      <c r="Q137" s="11">
        <f>IF(ISNUMBER(E137),E137*1000,"")</f>
        <v/>
      </c>
      <c r="R137" s="11">
        <f>IF(ISNUMBER(F137),F137*1000,"")</f>
        <v/>
      </c>
      <c r="S137" s="11" t="str">
        <f>IF(OR(AND(ISNUMBER(G137),G137&lt;0),AND(ISNUMBER(H137),H137&lt;0)),"VIOLATED - later response unreliable",IF(COUNT(G137:H137)=2,"No negative predicted (estimate)","Not entered / incomplete"))</f>
        <v>Not entered / incomplete</v>
      </c>
    </row>
    <row r="138" spans="1:19" ht="32" customHeight="1">
      <c r="A138" s="8" t="s">
        <v>151</v>
      </c>
      <c r="B138" s="10"/>
      <c r="C138" s="10"/>
      <c r="D138" s="10"/>
      <c r="E138" s="10"/>
      <c r="F138" s="10"/>
      <c r="G138" s="10"/>
      <c r="H138" s="10"/>
      <c r="I138" s="10"/>
      <c r="L138" s="10"/>
      <c r="O138" s="11">
        <f>IF(ISNUMBER(B138),B138*1000,"")</f>
        <v/>
      </c>
      <c r="P138" s="11">
        <f>IF(ISNUMBER(C138),C138*180/PI(),"")</f>
        <v/>
      </c>
      <c r="Q138" s="11">
        <f>IF(ISNUMBER(E138),E138*1000,"")</f>
        <v/>
      </c>
      <c r="R138" s="11">
        <f>IF(ISNUMBER(F138),F138*1000,"")</f>
        <v/>
      </c>
      <c r="S138" s="11" t="str">
        <f>IF(OR(AND(ISNUMBER(G138),G138&lt;0),AND(ISNUMBER(H138),H138&lt;0)),"VIOLATED - later response unreliable",IF(COUNT(G138:H138)=2,"No negative predicted (estimate)","Not entered / incomplete"))</f>
        <v>Not entered / incomplete</v>
      </c>
    </row>
    <row r="139" spans="1:19" ht="32" customHeight="1">
      <c r="A139" s="8" t="s">
        <v>152</v>
      </c>
      <c r="B139" s="10"/>
      <c r="C139" s="10"/>
      <c r="D139" s="10"/>
      <c r="E139" s="10"/>
      <c r="F139" s="10"/>
      <c r="G139" s="10"/>
      <c r="H139" s="10"/>
      <c r="I139" s="10"/>
      <c r="L139" s="10"/>
      <c r="O139" s="11">
        <f>IF(ISNUMBER(B139),B139*1000,"")</f>
        <v/>
      </c>
      <c r="P139" s="11">
        <f>IF(ISNUMBER(C139),C139*180/PI(),"")</f>
        <v/>
      </c>
      <c r="Q139" s="11">
        <f>IF(ISNUMBER(E139),E139*1000,"")</f>
        <v/>
      </c>
      <c r="R139" s="11">
        <f>IF(ISNUMBER(F139),F139*1000,"")</f>
        <v/>
      </c>
      <c r="S139" s="11" t="str">
        <f>IF(OR(AND(ISNUMBER(G139),G139&lt;0),AND(ISNUMBER(H139),H139&lt;0)),"VIOLATED - later response unreliable",IF(COUNT(G139:H139)=2,"No negative predicted (estimate)","Not entered / incomplete"))</f>
        <v>Not entered / incomplete</v>
      </c>
    </row>
    <row r="140" spans="1:19" ht="32" customHeight="1">
      <c r="A140" s="8" t="s">
        <v>153</v>
      </c>
      <c r="B140" s="10"/>
      <c r="C140" s="10"/>
      <c r="D140" s="10"/>
      <c r="E140" s="10"/>
      <c r="F140" s="10"/>
      <c r="G140" s="10"/>
      <c r="H140" s="10"/>
      <c r="I140" s="10"/>
      <c r="L140" s="10"/>
      <c r="O140" s="11">
        <f>IF(ISNUMBER(B140),B140*1000,"")</f>
        <v/>
      </c>
      <c r="P140" s="11">
        <f>IF(ISNUMBER(C140),C140*180/PI(),"")</f>
        <v/>
      </c>
      <c r="Q140" s="11">
        <f>IF(ISNUMBER(E140),E140*1000,"")</f>
        <v/>
      </c>
      <c r="R140" s="11">
        <f>IF(ISNUMBER(F140),F140*1000,"")</f>
        <v/>
      </c>
      <c r="S140" s="11" t="str">
        <f>IF(OR(AND(ISNUMBER(G140),G140&lt;0),AND(ISNUMBER(H140),H140&lt;0)),"VIOLATED - later response unreliable",IF(COUNT(G140:H140)=2,"No negative predicted (estimate)","Not entered / incomplete"))</f>
        <v>Not entered / incomplete</v>
      </c>
    </row>
    <row r="141" spans="1:19" ht="32" customHeight="1">
      <c r="A141" s="8" t="s">
        <v>154</v>
      </c>
      <c r="B141" s="10"/>
      <c r="C141" s="10"/>
      <c r="D141" s="10"/>
      <c r="E141" s="10"/>
      <c r="F141" s="10"/>
      <c r="G141" s="10"/>
      <c r="H141" s="10"/>
      <c r="I141" s="10"/>
      <c r="L141" s="10"/>
      <c r="O141" s="11">
        <f>IF(ISNUMBER(B141),B141*1000,"")</f>
        <v/>
      </c>
      <c r="P141" s="11">
        <f>IF(ISNUMBER(C141),C141*180/PI(),"")</f>
        <v/>
      </c>
      <c r="Q141" s="11">
        <f>IF(ISNUMBER(E141),E141*1000,"")</f>
        <v/>
      </c>
      <c r="R141" s="11">
        <f>IF(ISNUMBER(F141),F141*1000,"")</f>
        <v/>
      </c>
      <c r="S141" s="11" t="str">
        <f>IF(OR(AND(ISNUMBER(G141),G141&lt;0),AND(ISNUMBER(H141),H141&lt;0)),"VIOLATED - later response unreliable",IF(COUNT(G141:H141)=2,"No negative predicted (estimate)","Not entered / incomplete"))</f>
        <v>Not entered / incomplete</v>
      </c>
    </row>
    <row r="142" spans="1:19" ht="32" customHeight="1">
      <c r="A142" s="8" t="s">
        <v>155</v>
      </c>
      <c r="B142" s="10"/>
      <c r="C142" s="10"/>
      <c r="D142" s="10"/>
      <c r="E142" s="10"/>
      <c r="F142" s="10"/>
      <c r="G142" s="10"/>
      <c r="H142" s="10"/>
      <c r="I142" s="10"/>
      <c r="L142" s="10"/>
      <c r="O142" s="11">
        <f>IF(ISNUMBER(B142),B142*1000,"")</f>
        <v/>
      </c>
      <c r="P142" s="11">
        <f>IF(ISNUMBER(C142),C142*180/PI(),"")</f>
        <v/>
      </c>
      <c r="Q142" s="11">
        <f>IF(ISNUMBER(E142),E142*1000,"")</f>
        <v/>
      </c>
      <c r="R142" s="11">
        <f>IF(ISNUMBER(F142),F142*1000,"")</f>
        <v/>
      </c>
      <c r="S142" s="11" t="str">
        <f>IF(OR(AND(ISNUMBER(G142),G142&lt;0),AND(ISNUMBER(H142),H142&lt;0)),"VIOLATED - later response unreliable",IF(COUNT(G142:H142)=2,"No negative predicted (estimate)","Not entered / incomplete"))</f>
        <v>Not entered / incomplete</v>
      </c>
    </row>
    <row r="143" spans="1:19" ht="32" customHeight="1">
      <c r="A143" s="8" t="s">
        <v>156</v>
      </c>
      <c r="B143" s="10"/>
      <c r="C143" s="10"/>
      <c r="D143" s="10"/>
      <c r="E143" s="10"/>
      <c r="F143" s="10"/>
      <c r="G143" s="10"/>
      <c r="H143" s="10"/>
      <c r="I143" s="10"/>
      <c r="L143" s="10"/>
      <c r="O143" s="11">
        <f>IF(ISNUMBER(B143),B143*1000,"")</f>
        <v/>
      </c>
      <c r="P143" s="11">
        <f>IF(ISNUMBER(C143),C143*180/PI(),"")</f>
        <v/>
      </c>
      <c r="Q143" s="11">
        <f>IF(ISNUMBER(E143),E143*1000,"")</f>
        <v/>
      </c>
      <c r="R143" s="11">
        <f>IF(ISNUMBER(F143),F143*1000,"")</f>
        <v/>
      </c>
      <c r="S143" s="11" t="str">
        <f>IF(OR(AND(ISNUMBER(G143),G143&lt;0),AND(ISNUMBER(H143),H143&lt;0)),"VIOLATED - later response unreliable",IF(COUNT(G143:H143)=2,"No negative predicted (estimate)","Not entered / incomplete"))</f>
        <v>Not entered / incomplete</v>
      </c>
    </row>
    <row r="144" spans="1:19" ht="32" customHeight="1">
      <c r="A144" s="8" t="s">
        <v>157</v>
      </c>
      <c r="B144" s="10"/>
      <c r="C144" s="10"/>
      <c r="D144" s="10"/>
      <c r="E144" s="10"/>
      <c r="F144" s="10"/>
      <c r="G144" s="10"/>
      <c r="H144" s="10"/>
      <c r="I144" s="10"/>
      <c r="L144" s="10"/>
      <c r="O144" s="11">
        <f>IF(ISNUMBER(B144),B144*1000,"")</f>
        <v/>
      </c>
      <c r="P144" s="11">
        <f>IF(ISNUMBER(C144),C144*180/PI(),"")</f>
        <v/>
      </c>
      <c r="Q144" s="11">
        <f>IF(ISNUMBER(E144),E144*1000,"")</f>
        <v/>
      </c>
      <c r="R144" s="11">
        <f>IF(ISNUMBER(F144),F144*1000,"")</f>
        <v/>
      </c>
      <c r="S144" s="11" t="str">
        <f>IF(OR(AND(ISNUMBER(G144),G144&lt;0),AND(ISNUMBER(H144),H144&lt;0)),"VIOLATED - later response unreliable",IF(COUNT(G144:H144)=2,"No negative predicted (estimate)","Not entered / incomplete"))</f>
        <v>Not entered / incomplete</v>
      </c>
    </row>
    <row r="145" spans="1:19" ht="32" customHeight="1">
      <c r="A145" s="8" t="s">
        <v>158</v>
      </c>
      <c r="B145" s="10"/>
      <c r="C145" s="10"/>
      <c r="D145" s="10"/>
      <c r="E145" s="10"/>
      <c r="F145" s="10"/>
      <c r="G145" s="10"/>
      <c r="H145" s="10"/>
      <c r="I145" s="10"/>
      <c r="L145" s="10"/>
      <c r="O145" s="11">
        <f>IF(ISNUMBER(B145),B145*1000,"")</f>
        <v/>
      </c>
      <c r="P145" s="11">
        <f>IF(ISNUMBER(C145),C145*180/PI(),"")</f>
        <v/>
      </c>
      <c r="Q145" s="11">
        <f>IF(ISNUMBER(E145),E145*1000,"")</f>
        <v/>
      </c>
      <c r="R145" s="11">
        <f>IF(ISNUMBER(F145),F145*1000,"")</f>
        <v/>
      </c>
      <c r="S145" s="11" t="str">
        <f>IF(OR(AND(ISNUMBER(G145),G145&lt;0),AND(ISNUMBER(H145),H145&lt;0)),"VIOLATED - later response unreliable",IF(COUNT(G145:H145)=2,"No negative predicted (estimate)","Not entered / incomplete"))</f>
        <v>Not entered / incomplete</v>
      </c>
    </row>
    <row r="146" spans="1:19" ht="32" customHeight="1">
      <c r="A146" s="8" t="s">
        <v>159</v>
      </c>
      <c r="B146" s="10"/>
      <c r="C146" s="10"/>
      <c r="D146" s="10"/>
      <c r="E146" s="10"/>
      <c r="F146" s="10"/>
      <c r="G146" s="10"/>
      <c r="H146" s="10"/>
      <c r="I146" s="10"/>
      <c r="L146" s="10"/>
      <c r="O146" s="11">
        <f>IF(ISNUMBER(B146),B146*1000,"")</f>
        <v/>
      </c>
      <c r="P146" s="11">
        <f>IF(ISNUMBER(C146),C146*180/PI(),"")</f>
        <v/>
      </c>
      <c r="Q146" s="11">
        <f>IF(ISNUMBER(E146),E146*1000,"")</f>
        <v/>
      </c>
      <c r="R146" s="11">
        <f>IF(ISNUMBER(F146),F146*1000,"")</f>
        <v/>
      </c>
      <c r="S146" s="11" t="str">
        <f>IF(OR(AND(ISNUMBER(G146),G146&lt;0),AND(ISNUMBER(H146),H146&lt;0)),"VIOLATED - later response unreliable",IF(COUNT(G146:H146)=2,"No negative predicted (estimate)","Not entered / incomplete"))</f>
        <v>Not entered / incomplete</v>
      </c>
    </row>
    <row r="147" spans="1:19" ht="32" customHeight="1">
      <c r="A147" s="8" t="s">
        <v>160</v>
      </c>
      <c r="B147" s="10"/>
      <c r="C147" s="10"/>
      <c r="D147" s="10"/>
      <c r="E147" s="10"/>
      <c r="F147" s="10"/>
      <c r="G147" s="10"/>
      <c r="H147" s="10"/>
      <c r="I147" s="10"/>
      <c r="L147" s="10"/>
      <c r="O147" s="11">
        <f>IF(ISNUMBER(B147),B147*1000,"")</f>
        <v/>
      </c>
      <c r="P147" s="11">
        <f>IF(ISNUMBER(C147),C147*180/PI(),"")</f>
        <v/>
      </c>
      <c r="Q147" s="11">
        <f>IF(ISNUMBER(E147),E147*1000,"")</f>
        <v/>
      </c>
      <c r="R147" s="11">
        <f>IF(ISNUMBER(F147),F147*1000,"")</f>
        <v/>
      </c>
      <c r="S147" s="11" t="str">
        <f>IF(OR(AND(ISNUMBER(G147),G147&lt;0),AND(ISNUMBER(H147),H147&lt;0)),"VIOLATED - later response unreliable",IF(COUNT(G147:H147)=2,"No negative predicted (estimate)","Not entered / incomplete"))</f>
        <v>Not entered / incomplete</v>
      </c>
    </row>
    <row r="148" spans="1:19" ht="32" customHeight="1">
      <c r="A148" s="8" t="s">
        <v>161</v>
      </c>
      <c r="B148" s="10"/>
      <c r="C148" s="10"/>
      <c r="D148" s="10"/>
      <c r="E148" s="10"/>
      <c r="F148" s="10"/>
      <c r="G148" s="10"/>
      <c r="H148" s="10"/>
      <c r="I148" s="10"/>
      <c r="L148" s="10"/>
      <c r="O148" s="11">
        <f>IF(ISNUMBER(B148),B148*1000,"")</f>
        <v/>
      </c>
      <c r="P148" s="11">
        <f>IF(ISNUMBER(C148),C148*180/PI(),"")</f>
        <v/>
      </c>
      <c r="Q148" s="11">
        <f>IF(ISNUMBER(E148),E148*1000,"")</f>
        <v/>
      </c>
      <c r="R148" s="11">
        <f>IF(ISNUMBER(F148),F148*1000,"")</f>
        <v/>
      </c>
      <c r="S148" s="11" t="str">
        <f>IF(OR(AND(ISNUMBER(G148),G148&lt;0),AND(ISNUMBER(H148),H148&lt;0)),"VIOLATED - later response unreliable",IF(COUNT(G148:H148)=2,"No negative predicted (estimate)","Not entered / incomplete"))</f>
        <v>Not entered / incomplete</v>
      </c>
    </row>
    <row r="149" spans="1:19" ht="32" customHeight="1">
      <c r="A149" s="8" t="s">
        <v>162</v>
      </c>
      <c r="B149" s="10"/>
      <c r="C149" s="10"/>
      <c r="D149" s="10"/>
      <c r="E149" s="10"/>
      <c r="F149" s="10"/>
      <c r="G149" s="10"/>
      <c r="H149" s="10"/>
      <c r="I149" s="10"/>
      <c r="L149" s="10"/>
      <c r="O149" s="11">
        <f>IF(ISNUMBER(B149),B149*1000,"")</f>
        <v/>
      </c>
      <c r="P149" s="11">
        <f>IF(ISNUMBER(C149),C149*180/PI(),"")</f>
        <v/>
      </c>
      <c r="Q149" s="11">
        <f>IF(ISNUMBER(E149),E149*1000,"")</f>
        <v/>
      </c>
      <c r="R149" s="11">
        <f>IF(ISNUMBER(F149),F149*1000,"")</f>
        <v/>
      </c>
      <c r="S149" s="11" t="str">
        <f>IF(OR(AND(ISNUMBER(G149),G149&lt;0),AND(ISNUMBER(H149),H149&lt;0)),"VIOLATED - later response unreliable",IF(COUNT(G149:H149)=2,"No negative predicted (estimate)","Not entered / incomplete"))</f>
        <v>Not entered / incomplete</v>
      </c>
    </row>
    <row r="150" spans="1:19" ht="32" customHeight="1">
      <c r="A150" s="8" t="s">
        <v>163</v>
      </c>
      <c r="B150" s="10"/>
      <c r="C150" s="10"/>
      <c r="D150" s="10"/>
      <c r="E150" s="10"/>
      <c r="F150" s="10"/>
      <c r="G150" s="10"/>
      <c r="H150" s="10"/>
      <c r="I150" s="10"/>
      <c r="L150" s="10"/>
      <c r="O150" s="11">
        <f>IF(ISNUMBER(B150),B150*1000,"")</f>
        <v/>
      </c>
      <c r="P150" s="11">
        <f>IF(ISNUMBER(C150),C150*180/PI(),"")</f>
        <v/>
      </c>
      <c r="Q150" s="11">
        <f>IF(ISNUMBER(E150),E150*1000,"")</f>
        <v/>
      </c>
      <c r="R150" s="11">
        <f>IF(ISNUMBER(F150),F150*1000,"")</f>
        <v/>
      </c>
      <c r="S150" s="11" t="str">
        <f>IF(OR(AND(ISNUMBER(G150),G150&lt;0),AND(ISNUMBER(H150),H150&lt;0)),"VIOLATED - later response unreliable",IF(COUNT(G150:H150)=2,"No negative predicted (estimate)","Not entered / incomplete"))</f>
        <v>Not entered / incomplete</v>
      </c>
    </row>
    <row r="151" spans="1:19" ht="32" customHeight="1">
      <c r="A151" s="8" t="s">
        <v>164</v>
      </c>
      <c r="B151" s="10"/>
      <c r="C151" s="10"/>
      <c r="D151" s="10"/>
      <c r="E151" s="10"/>
      <c r="F151" s="10"/>
      <c r="G151" s="10"/>
      <c r="H151" s="10"/>
      <c r="I151" s="10"/>
      <c r="L151" s="10"/>
      <c r="O151" s="11">
        <f>IF(ISNUMBER(B151),B151*1000,"")</f>
        <v/>
      </c>
      <c r="P151" s="11">
        <f>IF(ISNUMBER(C151),C151*180/PI(),"")</f>
        <v/>
      </c>
      <c r="Q151" s="11">
        <f>IF(ISNUMBER(E151),E151*1000,"")</f>
        <v/>
      </c>
      <c r="R151" s="11">
        <f>IF(ISNUMBER(F151),F151*1000,"")</f>
        <v/>
      </c>
      <c r="S151" s="11" t="str">
        <f>IF(OR(AND(ISNUMBER(G151),G151&lt;0),AND(ISNUMBER(H151),H151&lt;0)),"VIOLATED - later response unreliable",IF(COUNT(G151:H151)=2,"No negative predicted (estimate)","Not entered / incomplete"))</f>
        <v>Not entered / incomplete</v>
      </c>
    </row>
    <row r="152" spans="1:19" ht="32" customHeight="1">
      <c r="A152" s="8" t="s">
        <v>165</v>
      </c>
      <c r="B152" s="10"/>
      <c r="C152" s="10"/>
      <c r="D152" s="10"/>
      <c r="E152" s="10"/>
      <c r="F152" s="10"/>
      <c r="G152" s="10"/>
      <c r="H152" s="10"/>
      <c r="I152" s="10"/>
      <c r="L152" s="10"/>
      <c r="O152" s="11">
        <f>IF(ISNUMBER(B152),B152*1000,"")</f>
        <v/>
      </c>
      <c r="P152" s="11">
        <f>IF(ISNUMBER(C152),C152*180/PI(),"")</f>
        <v/>
      </c>
      <c r="Q152" s="11">
        <f>IF(ISNUMBER(E152),E152*1000,"")</f>
        <v/>
      </c>
      <c r="R152" s="11">
        <f>IF(ISNUMBER(F152),F152*1000,"")</f>
        <v/>
      </c>
      <c r="S152" s="11" t="str">
        <f>IF(OR(AND(ISNUMBER(G152),G152&lt;0),AND(ISNUMBER(H152),H152&lt;0)),"VIOLATED - later response unreliable",IF(COUNT(G152:H152)=2,"No negative predicted (estimate)","Not entered / incomplete"))</f>
        <v>Not entered / incomplete</v>
      </c>
    </row>
    <row r="153" spans="1:19" ht="32" customHeight="1">
      <c r="A153" s="8" t="s">
        <v>166</v>
      </c>
      <c r="B153" s="10"/>
      <c r="C153" s="10"/>
      <c r="D153" s="10"/>
      <c r="E153" s="10"/>
      <c r="F153" s="10"/>
      <c r="G153" s="10"/>
      <c r="H153" s="10"/>
      <c r="I153" s="10"/>
      <c r="L153" s="10"/>
      <c r="O153" s="11">
        <f>IF(ISNUMBER(B153),B153*1000,"")</f>
        <v/>
      </c>
      <c r="P153" s="11">
        <f>IF(ISNUMBER(C153),C153*180/PI(),"")</f>
        <v/>
      </c>
      <c r="Q153" s="11">
        <f>IF(ISNUMBER(E153),E153*1000,"")</f>
        <v/>
      </c>
      <c r="R153" s="11">
        <f>IF(ISNUMBER(F153),F153*1000,"")</f>
        <v/>
      </c>
      <c r="S153" s="11" t="str">
        <f>IF(OR(AND(ISNUMBER(G153),G153&lt;0),AND(ISNUMBER(H153),H153&lt;0)),"VIOLATED - later response unreliable",IF(COUNT(G153:H153)=2,"No negative predicted (estimate)","Not entered / incomplete"))</f>
        <v>Not entered / incomplete</v>
      </c>
    </row>
    <row r="154" spans="1:19" ht="32" customHeight="1">
      <c r="A154" s="8" t="s">
        <v>167</v>
      </c>
      <c r="B154" s="10"/>
      <c r="C154" s="10"/>
      <c r="D154" s="10"/>
      <c r="E154" s="10"/>
      <c r="F154" s="10"/>
      <c r="G154" s="10"/>
      <c r="H154" s="10"/>
      <c r="I154" s="10"/>
      <c r="L154" s="10"/>
      <c r="O154" s="11">
        <f>IF(ISNUMBER(B154),B154*1000,"")</f>
        <v/>
      </c>
      <c r="P154" s="11">
        <f>IF(ISNUMBER(C154),C154*180/PI(),"")</f>
        <v/>
      </c>
      <c r="Q154" s="11">
        <f>IF(ISNUMBER(E154),E154*1000,"")</f>
        <v/>
      </c>
      <c r="R154" s="11">
        <f>IF(ISNUMBER(F154),F154*1000,"")</f>
        <v/>
      </c>
      <c r="S154" s="11" t="str">
        <f>IF(OR(AND(ISNUMBER(G154),G154&lt;0),AND(ISNUMBER(H154),H154&lt;0)),"VIOLATED - later response unreliable",IF(COUNT(G154:H154)=2,"No negative predicted (estimate)","Not entered / incomplete"))</f>
        <v>Not entered / incomplete</v>
      </c>
    </row>
    <row r="155" spans="1:19" ht="32" customHeight="1">
      <c r="A155" s="8" t="s">
        <v>168</v>
      </c>
      <c r="B155" s="10"/>
      <c r="C155" s="10"/>
      <c r="D155" s="10"/>
      <c r="E155" s="10"/>
      <c r="F155" s="10"/>
      <c r="G155" s="10"/>
      <c r="H155" s="10"/>
      <c r="I155" s="10"/>
      <c r="L155" s="10"/>
      <c r="O155" s="11">
        <f>IF(ISNUMBER(B155),B155*1000,"")</f>
        <v/>
      </c>
      <c r="P155" s="11">
        <f>IF(ISNUMBER(C155),C155*180/PI(),"")</f>
        <v/>
      </c>
      <c r="Q155" s="11">
        <f>IF(ISNUMBER(E155),E155*1000,"")</f>
        <v/>
      </c>
      <c r="R155" s="11">
        <f>IF(ISNUMBER(F155),F155*1000,"")</f>
        <v/>
      </c>
      <c r="S155" s="11" t="str">
        <f>IF(OR(AND(ISNUMBER(G155),G155&lt;0),AND(ISNUMBER(H155),H155&lt;0)),"VIOLATED - later response unreliable",IF(COUNT(G155:H155)=2,"No negative predicted (estimate)","Not entered / incomplete"))</f>
        <v>Not entered / incomplete</v>
      </c>
    </row>
    <row r="156" spans="1:19" ht="32" customHeight="1">
      <c r="A156" s="8" t="s">
        <v>169</v>
      </c>
      <c r="B156" s="10"/>
      <c r="C156" s="10"/>
      <c r="D156" s="10"/>
      <c r="E156" s="10"/>
      <c r="F156" s="10"/>
      <c r="G156" s="10"/>
      <c r="H156" s="10"/>
      <c r="I156" s="10"/>
      <c r="L156" s="10"/>
      <c r="O156" s="11">
        <f>IF(ISNUMBER(B156),B156*1000,"")</f>
        <v/>
      </c>
      <c r="P156" s="11">
        <f>IF(ISNUMBER(C156),C156*180/PI(),"")</f>
        <v/>
      </c>
      <c r="Q156" s="11">
        <f>IF(ISNUMBER(E156),E156*1000,"")</f>
        <v/>
      </c>
      <c r="R156" s="11">
        <f>IF(ISNUMBER(F156),F156*1000,"")</f>
        <v/>
      </c>
      <c r="S156" s="11" t="str">
        <f>IF(OR(AND(ISNUMBER(G156),G156&lt;0),AND(ISNUMBER(H156),H156&lt;0)),"VIOLATED - later response unreliable",IF(COUNT(G156:H156)=2,"No negative predicted (estimate)","Not entered / incomplete"))</f>
        <v>Not entered / incomplete</v>
      </c>
    </row>
    <row r="157" spans="1:19" ht="32" customHeight="1">
      <c r="A157" s="8" t="s">
        <v>170</v>
      </c>
      <c r="B157" s="10"/>
      <c r="C157" s="10"/>
      <c r="D157" s="10"/>
      <c r="E157" s="10"/>
      <c r="F157" s="10"/>
      <c r="G157" s="10"/>
      <c r="H157" s="10"/>
      <c r="I157" s="10"/>
      <c r="L157" s="10"/>
      <c r="O157" s="11">
        <f>IF(ISNUMBER(B157),B157*1000,"")</f>
        <v/>
      </c>
      <c r="P157" s="11">
        <f>IF(ISNUMBER(C157),C157*180/PI(),"")</f>
        <v/>
      </c>
      <c r="Q157" s="11">
        <f>IF(ISNUMBER(E157),E157*1000,"")</f>
        <v/>
      </c>
      <c r="R157" s="11">
        <f>IF(ISNUMBER(F157),F157*1000,"")</f>
        <v/>
      </c>
      <c r="S157" s="11" t="str">
        <f>IF(OR(AND(ISNUMBER(G157),G157&lt;0),AND(ISNUMBER(H157),H157&lt;0)),"VIOLATED - later response unreliable",IF(COUNT(G157:H157)=2,"No negative predicted (estimate)","Not entered / incomplete"))</f>
        <v>Not entered / incomplete</v>
      </c>
    </row>
    <row r="158" spans="1:19" ht="32" customHeight="1">
      <c r="A158" s="8" t="s">
        <v>171</v>
      </c>
      <c r="B158" s="10"/>
      <c r="C158" s="10"/>
      <c r="D158" s="10"/>
      <c r="E158" s="10"/>
      <c r="F158" s="10"/>
      <c r="G158" s="10"/>
      <c r="H158" s="10"/>
      <c r="I158" s="10"/>
      <c r="L158" s="10"/>
      <c r="O158" s="11">
        <f>IF(ISNUMBER(B158),B158*1000,"")</f>
        <v/>
      </c>
      <c r="P158" s="11">
        <f>IF(ISNUMBER(C158),C158*180/PI(),"")</f>
        <v/>
      </c>
      <c r="Q158" s="11">
        <f>IF(ISNUMBER(E158),E158*1000,"")</f>
        <v/>
      </c>
      <c r="R158" s="11">
        <f>IF(ISNUMBER(F158),F158*1000,"")</f>
        <v/>
      </c>
      <c r="S158" s="11" t="str">
        <f>IF(OR(AND(ISNUMBER(G158),G158&lt;0),AND(ISNUMBER(H158),H158&lt;0)),"VIOLATED - later response unreliable",IF(COUNT(G158:H158)=2,"No negative predicted (estimate)","Not entered / incomplete"))</f>
        <v>Not entered / incomplete</v>
      </c>
    </row>
    <row r="159" spans="1:19" ht="32" customHeight="1">
      <c r="A159" s="8" t="s">
        <v>172</v>
      </c>
      <c r="B159" s="10"/>
      <c r="C159" s="10"/>
      <c r="D159" s="10"/>
      <c r="E159" s="10"/>
      <c r="F159" s="10"/>
      <c r="G159" s="10"/>
      <c r="H159" s="10"/>
      <c r="I159" s="10"/>
      <c r="L159" s="10"/>
      <c r="O159" s="11">
        <f>IF(ISNUMBER(B159),B159*1000,"")</f>
        <v/>
      </c>
      <c r="P159" s="11">
        <f>IF(ISNUMBER(C159),C159*180/PI(),"")</f>
        <v/>
      </c>
      <c r="Q159" s="11">
        <f>IF(ISNUMBER(E159),E159*1000,"")</f>
        <v/>
      </c>
      <c r="R159" s="11">
        <f>IF(ISNUMBER(F159),F159*1000,"")</f>
        <v/>
      </c>
      <c r="S159" s="11" t="str">
        <f>IF(OR(AND(ISNUMBER(G159),G159&lt;0),AND(ISNUMBER(H159),H159&lt;0)),"VIOLATED - later response unreliable",IF(COUNT(G159:H159)=2,"No negative predicted (estimate)","Not entered / incomplete"))</f>
        <v>Not entered / incomplete</v>
      </c>
    </row>
    <row r="160" spans="1:19" ht="32" customHeight="1">
      <c r="A160" s="8" t="s">
        <v>173</v>
      </c>
      <c r="B160" s="10"/>
      <c r="C160" s="10"/>
      <c r="D160" s="10"/>
      <c r="E160" s="10"/>
      <c r="F160" s="10"/>
      <c r="G160" s="10"/>
      <c r="H160" s="10"/>
      <c r="I160" s="10"/>
      <c r="L160" s="10"/>
      <c r="O160" s="11">
        <f>IF(ISNUMBER(B160),B160*1000,"")</f>
        <v/>
      </c>
      <c r="P160" s="11">
        <f>IF(ISNUMBER(C160),C160*180/PI(),"")</f>
        <v/>
      </c>
      <c r="Q160" s="11">
        <f>IF(ISNUMBER(E160),E160*1000,"")</f>
        <v/>
      </c>
      <c r="R160" s="11">
        <f>IF(ISNUMBER(F160),F160*1000,"")</f>
        <v/>
      </c>
      <c r="S160" s="11" t="str">
        <f>IF(OR(AND(ISNUMBER(G160),G160&lt;0),AND(ISNUMBER(H160),H160&lt;0)),"VIOLATED - later response unreliable",IF(COUNT(G160:H160)=2,"No negative predicted (estimate)","Not entered / incomplete"))</f>
        <v>Not entered / incomplete</v>
      </c>
    </row>
    <row r="161" spans="1:19" ht="32" customHeight="1">
      <c r="A161" s="8" t="s">
        <v>174</v>
      </c>
      <c r="B161" s="10"/>
      <c r="C161" s="10"/>
      <c r="D161" s="10"/>
      <c r="E161" s="10"/>
      <c r="F161" s="10"/>
      <c r="G161" s="10"/>
      <c r="H161" s="10"/>
      <c r="I161" s="10"/>
      <c r="L161" s="10"/>
      <c r="O161" s="11">
        <f>IF(ISNUMBER(B161),B161*1000,"")</f>
        <v/>
      </c>
      <c r="P161" s="11">
        <f>IF(ISNUMBER(C161),C161*180/PI(),"")</f>
        <v/>
      </c>
      <c r="Q161" s="11">
        <f>IF(ISNUMBER(E161),E161*1000,"")</f>
        <v/>
      </c>
      <c r="R161" s="11">
        <f>IF(ISNUMBER(F161),F161*1000,"")</f>
        <v/>
      </c>
      <c r="S161" s="11" t="str">
        <f>IF(OR(AND(ISNUMBER(G161),G161&lt;0),AND(ISNUMBER(H161),H161&lt;0)),"VIOLATED - later response unreliable",IF(COUNT(G161:H161)=2,"No negative predicted (estimate)","Not entered / incomplete"))</f>
        <v>Not entered / incomplete</v>
      </c>
    </row>
    <row r="162" spans="1:19" ht="32" customHeight="1">
      <c r="A162" s="8" t="s">
        <v>175</v>
      </c>
      <c r="B162" s="10"/>
      <c r="C162" s="10"/>
      <c r="D162" s="10"/>
      <c r="E162" s="10"/>
      <c r="F162" s="10"/>
      <c r="G162" s="10"/>
      <c r="H162" s="10"/>
      <c r="I162" s="10"/>
      <c r="L162" s="10"/>
      <c r="O162" s="11">
        <f>IF(ISNUMBER(B162),B162*1000,"")</f>
        <v/>
      </c>
      <c r="P162" s="11">
        <f>IF(ISNUMBER(C162),C162*180/PI(),"")</f>
        <v/>
      </c>
      <c r="Q162" s="11">
        <f>IF(ISNUMBER(E162),E162*1000,"")</f>
        <v/>
      </c>
      <c r="R162" s="11">
        <f>IF(ISNUMBER(F162),F162*1000,"")</f>
        <v/>
      </c>
      <c r="S162" s="11" t="str">
        <f>IF(OR(AND(ISNUMBER(G162),G162&lt;0),AND(ISNUMBER(H162),H162&lt;0)),"VIOLATED - later response unreliable",IF(COUNT(G162:H162)=2,"No negative predicted (estimate)","Not entered / incomplete"))</f>
        <v>Not entered / incomplete</v>
      </c>
    </row>
    <row r="163" spans="1:19" ht="32" customHeight="1">
      <c r="A163" s="8" t="s">
        <v>176</v>
      </c>
      <c r="B163" s="10"/>
      <c r="C163" s="10"/>
      <c r="D163" s="10"/>
      <c r="E163" s="10"/>
      <c r="F163" s="10"/>
      <c r="G163" s="10"/>
      <c r="H163" s="10"/>
      <c r="I163" s="10"/>
      <c r="L163" s="10"/>
      <c r="O163" s="11">
        <f>IF(ISNUMBER(B163),B163*1000,"")</f>
        <v/>
      </c>
      <c r="P163" s="11">
        <f>IF(ISNUMBER(C163),C163*180/PI(),"")</f>
        <v/>
      </c>
      <c r="Q163" s="11">
        <f>IF(ISNUMBER(E163),E163*1000,"")</f>
        <v/>
      </c>
      <c r="R163" s="11">
        <f>IF(ISNUMBER(F163),F163*1000,"")</f>
        <v/>
      </c>
      <c r="S163" s="11" t="str">
        <f>IF(OR(AND(ISNUMBER(G163),G163&lt;0),AND(ISNUMBER(H163),H163&lt;0)),"VIOLATED - later response unreliable",IF(COUNT(G163:H163)=2,"No negative predicted (estimate)","Not entered / incomplete"))</f>
        <v>Not entered / incomplete</v>
      </c>
    </row>
    <row r="164" spans="1:19" ht="32" customHeight="1">
      <c r="A164" s="8" t="s">
        <v>177</v>
      </c>
      <c r="B164" s="10"/>
      <c r="C164" s="10"/>
      <c r="D164" s="10"/>
      <c r="E164" s="10"/>
      <c r="F164" s="10"/>
      <c r="G164" s="10"/>
      <c r="H164" s="10"/>
      <c r="I164" s="10"/>
      <c r="L164" s="10"/>
      <c r="O164" s="11">
        <f>IF(ISNUMBER(B164),B164*1000,"")</f>
        <v/>
      </c>
      <c r="P164" s="11">
        <f>IF(ISNUMBER(C164),C164*180/PI(),"")</f>
        <v/>
      </c>
      <c r="Q164" s="11">
        <f>IF(ISNUMBER(E164),E164*1000,"")</f>
        <v/>
      </c>
      <c r="R164" s="11">
        <f>IF(ISNUMBER(F164),F164*1000,"")</f>
        <v/>
      </c>
      <c r="S164" s="11" t="str">
        <f>IF(OR(AND(ISNUMBER(G164),G164&lt;0),AND(ISNUMBER(H164),H164&lt;0)),"VIOLATED - later response unreliable",IF(COUNT(G164:H164)=2,"No negative predicted (estimate)","Not entered / incomplete"))</f>
        <v>Not entered / incomplete</v>
      </c>
    </row>
    <row r="165" spans="1:19" ht="32" customHeight="1">
      <c r="A165" s="8" t="s">
        <v>178</v>
      </c>
      <c r="B165" s="10"/>
      <c r="C165" s="10"/>
      <c r="D165" s="10"/>
      <c r="E165" s="10"/>
      <c r="F165" s="10"/>
      <c r="G165" s="10"/>
      <c r="H165" s="10"/>
      <c r="I165" s="10"/>
      <c r="L165" s="10"/>
      <c r="O165" s="11">
        <f>IF(ISNUMBER(B165),B165*1000,"")</f>
        <v/>
      </c>
      <c r="P165" s="11">
        <f>IF(ISNUMBER(C165),C165*180/PI(),"")</f>
        <v/>
      </c>
      <c r="Q165" s="11">
        <f>IF(ISNUMBER(E165),E165*1000,"")</f>
        <v/>
      </c>
      <c r="R165" s="11">
        <f>IF(ISNUMBER(F165),F165*1000,"")</f>
        <v/>
      </c>
      <c r="S165" s="11" t="str">
        <f>IF(OR(AND(ISNUMBER(G165),G165&lt;0),AND(ISNUMBER(H165),H165&lt;0)),"VIOLATED - later response unreliable",IF(COUNT(G165:H165)=2,"No negative predicted (estimate)","Not entered / incomplete"))</f>
        <v>Not entered / incomplete</v>
      </c>
    </row>
    <row r="166" spans="1:19" ht="32" customHeight="1">
      <c r="A166" s="8" t="s">
        <v>179</v>
      </c>
      <c r="B166" s="10"/>
      <c r="C166" s="10"/>
      <c r="D166" s="10"/>
      <c r="E166" s="10"/>
      <c r="F166" s="10"/>
      <c r="G166" s="10"/>
      <c r="H166" s="10"/>
      <c r="I166" s="10"/>
      <c r="L166" s="10"/>
      <c r="O166" s="11">
        <f>IF(ISNUMBER(B166),B166*1000,"")</f>
        <v/>
      </c>
      <c r="P166" s="11">
        <f>IF(ISNUMBER(C166),C166*180/PI(),"")</f>
        <v/>
      </c>
      <c r="Q166" s="11">
        <f>IF(ISNUMBER(E166),E166*1000,"")</f>
        <v/>
      </c>
      <c r="R166" s="11">
        <f>IF(ISNUMBER(F166),F166*1000,"")</f>
        <v/>
      </c>
      <c r="S166" s="11" t="str">
        <f>IF(OR(AND(ISNUMBER(G166),G166&lt;0),AND(ISNUMBER(H166),H166&lt;0)),"VIOLATED - later response unreliable",IF(COUNT(G166:H166)=2,"No negative predicted (estimate)","Not entered / incomplete"))</f>
        <v>Not entered / incomplete</v>
      </c>
    </row>
    <row r="167" spans="1:19" ht="32" customHeight="1">
      <c r="A167" s="8" t="s">
        <v>180</v>
      </c>
      <c r="B167" s="10"/>
      <c r="C167" s="10"/>
      <c r="D167" s="10"/>
      <c r="E167" s="10"/>
      <c r="F167" s="10"/>
      <c r="G167" s="10"/>
      <c r="H167" s="10"/>
      <c r="I167" s="10"/>
      <c r="L167" s="10"/>
      <c r="O167" s="11">
        <f>IF(ISNUMBER(B167),B167*1000,"")</f>
        <v/>
      </c>
      <c r="P167" s="11">
        <f>IF(ISNUMBER(C167),C167*180/PI(),"")</f>
        <v/>
      </c>
      <c r="Q167" s="11">
        <f>IF(ISNUMBER(E167),E167*1000,"")</f>
        <v/>
      </c>
      <c r="R167" s="11">
        <f>IF(ISNUMBER(F167),F167*1000,"")</f>
        <v/>
      </c>
      <c r="S167" s="11" t="str">
        <f>IF(OR(AND(ISNUMBER(G167),G167&lt;0),AND(ISNUMBER(H167),H167&lt;0)),"VIOLATED - later response unreliable",IF(COUNT(G167:H167)=2,"No negative predicted (estimate)","Not entered / incomplete"))</f>
        <v>Not entered / incomplete</v>
      </c>
    </row>
    <row r="168" spans="1:19" ht="32" customHeight="1">
      <c r="A168" s="8" t="s">
        <v>181</v>
      </c>
      <c r="B168" s="10"/>
      <c r="C168" s="10"/>
      <c r="D168" s="10"/>
      <c r="E168" s="10"/>
      <c r="F168" s="10"/>
      <c r="G168" s="10"/>
      <c r="H168" s="10"/>
      <c r="I168" s="10"/>
      <c r="L168" s="10"/>
      <c r="O168" s="11">
        <f>IF(ISNUMBER(B168),B168*1000,"")</f>
        <v/>
      </c>
      <c r="P168" s="11">
        <f>IF(ISNUMBER(C168),C168*180/PI(),"")</f>
        <v/>
      </c>
      <c r="Q168" s="11">
        <f>IF(ISNUMBER(E168),E168*1000,"")</f>
        <v/>
      </c>
      <c r="R168" s="11">
        <f>IF(ISNUMBER(F168),F168*1000,"")</f>
        <v/>
      </c>
      <c r="S168" s="11" t="str">
        <f>IF(OR(AND(ISNUMBER(G168),G168&lt;0),AND(ISNUMBER(H168),H168&lt;0)),"VIOLATED - later response unreliable",IF(COUNT(G168:H168)=2,"No negative predicted (estimate)","Not entered / incomplete"))</f>
        <v>Not entered / incomplete</v>
      </c>
    </row>
    <row r="169" spans="1:19" ht="32" customHeight="1">
      <c r="A169" s="8" t="s">
        <v>182</v>
      </c>
      <c r="B169" s="10"/>
      <c r="C169" s="10"/>
      <c r="D169" s="10"/>
      <c r="E169" s="10"/>
      <c r="F169" s="10"/>
      <c r="G169" s="10"/>
      <c r="H169" s="10"/>
      <c r="I169" s="10"/>
      <c r="L169" s="10"/>
      <c r="O169" s="11">
        <f>IF(ISNUMBER(B169),B169*1000,"")</f>
        <v/>
      </c>
      <c r="P169" s="11">
        <f>IF(ISNUMBER(C169),C169*180/PI(),"")</f>
        <v/>
      </c>
      <c r="Q169" s="11">
        <f>IF(ISNUMBER(E169),E169*1000,"")</f>
        <v/>
      </c>
      <c r="R169" s="11">
        <f>IF(ISNUMBER(F169),F169*1000,"")</f>
        <v/>
      </c>
      <c r="S169" s="11" t="str">
        <f>IF(OR(AND(ISNUMBER(G169),G169&lt;0),AND(ISNUMBER(H169),H169&lt;0)),"VIOLATED - later response unreliable",IF(COUNT(G169:H169)=2,"No negative predicted (estimate)","Not entered / incomplete"))</f>
        <v>Not entered / incomplete</v>
      </c>
    </row>
    <row r="170" spans="1:19" ht="32" customHeight="1">
      <c r="A170" s="8" t="s">
        <v>183</v>
      </c>
      <c r="B170" s="10"/>
      <c r="C170" s="10"/>
      <c r="D170" s="10"/>
      <c r="E170" s="10"/>
      <c r="F170" s="10"/>
      <c r="G170" s="10"/>
      <c r="H170" s="10"/>
      <c r="I170" s="10"/>
      <c r="L170" s="10"/>
      <c r="O170" s="11">
        <f>IF(ISNUMBER(B170),B170*1000,"")</f>
        <v/>
      </c>
      <c r="P170" s="11">
        <f>IF(ISNUMBER(C170),C170*180/PI(),"")</f>
        <v/>
      </c>
      <c r="Q170" s="11">
        <f>IF(ISNUMBER(E170),E170*1000,"")</f>
        <v/>
      </c>
      <c r="R170" s="11">
        <f>IF(ISNUMBER(F170),F170*1000,"")</f>
        <v/>
      </c>
      <c r="S170" s="11" t="str">
        <f>IF(OR(AND(ISNUMBER(G170),G170&lt;0),AND(ISNUMBER(H170),H170&lt;0)),"VIOLATED - later response unreliable",IF(COUNT(G170:H170)=2,"No negative predicted (estimate)","Not entered / incomplete"))</f>
        <v>Not entered / incomplete</v>
      </c>
    </row>
    <row r="171" spans="1:19" ht="32" customHeight="1">
      <c r="A171" s="8" t="s">
        <v>184</v>
      </c>
      <c r="B171" s="10"/>
      <c r="C171" s="10"/>
      <c r="D171" s="10"/>
      <c r="E171" s="10"/>
      <c r="F171" s="10"/>
      <c r="G171" s="10"/>
      <c r="H171" s="10"/>
      <c r="I171" s="10"/>
      <c r="L171" s="10"/>
      <c r="O171" s="11">
        <f>IF(ISNUMBER(B171),B171*1000,"")</f>
        <v/>
      </c>
      <c r="P171" s="11">
        <f>IF(ISNUMBER(C171),C171*180/PI(),"")</f>
        <v/>
      </c>
      <c r="Q171" s="11">
        <f>IF(ISNUMBER(E171),E171*1000,"")</f>
        <v/>
      </c>
      <c r="R171" s="11">
        <f>IF(ISNUMBER(F171),F171*1000,"")</f>
        <v/>
      </c>
      <c r="S171" s="11" t="str">
        <f>IF(OR(AND(ISNUMBER(G171),G171&lt;0),AND(ISNUMBER(H171),H171&lt;0)),"VIOLATED - later response unreliable",IF(COUNT(G171:H171)=2,"No negative predicted (estimate)","Not entered / incomplete"))</f>
        <v>Not entered / incomplete</v>
      </c>
    </row>
    <row r="172" spans="1:19" ht="32" customHeight="1">
      <c r="A172" s="8" t="s">
        <v>185</v>
      </c>
      <c r="B172" s="10"/>
      <c r="C172" s="10"/>
      <c r="D172" s="10"/>
      <c r="E172" s="10"/>
      <c r="F172" s="10"/>
      <c r="G172" s="10"/>
      <c r="H172" s="10"/>
      <c r="I172" s="10"/>
      <c r="L172" s="10"/>
      <c r="O172" s="11">
        <f>IF(ISNUMBER(B172),B172*1000,"")</f>
        <v/>
      </c>
      <c r="P172" s="11">
        <f>IF(ISNUMBER(C172),C172*180/PI(),"")</f>
        <v/>
      </c>
      <c r="Q172" s="11">
        <f>IF(ISNUMBER(E172),E172*1000,"")</f>
        <v/>
      </c>
      <c r="R172" s="11">
        <f>IF(ISNUMBER(F172),F172*1000,"")</f>
        <v/>
      </c>
      <c r="S172" s="11" t="str">
        <f>IF(OR(AND(ISNUMBER(G172),G172&lt;0),AND(ISNUMBER(H172),H172&lt;0)),"VIOLATED - later response unreliable",IF(COUNT(G172:H172)=2,"No negative predicted (estimate)","Not entered / incomplete"))</f>
        <v>Not entered / incomplete</v>
      </c>
    </row>
    <row r="173" spans="1:19" ht="32" customHeight="1">
      <c r="A173" s="8" t="s">
        <v>186</v>
      </c>
      <c r="B173" s="10"/>
      <c r="C173" s="10"/>
      <c r="D173" s="10"/>
      <c r="E173" s="10"/>
      <c r="F173" s="10"/>
      <c r="G173" s="10"/>
      <c r="H173" s="10"/>
      <c r="I173" s="10"/>
      <c r="L173" s="10"/>
      <c r="O173" s="11">
        <f>IF(ISNUMBER(B173),B173*1000,"")</f>
        <v/>
      </c>
      <c r="P173" s="11">
        <f>IF(ISNUMBER(C173),C173*180/PI(),"")</f>
        <v/>
      </c>
      <c r="Q173" s="11">
        <f>IF(ISNUMBER(E173),E173*1000,"")</f>
        <v/>
      </c>
      <c r="R173" s="11">
        <f>IF(ISNUMBER(F173),F173*1000,"")</f>
        <v/>
      </c>
      <c r="S173" s="11" t="str">
        <f>IF(OR(AND(ISNUMBER(G173),G173&lt;0),AND(ISNUMBER(H173),H173&lt;0)),"VIOLATED - later response unreliable",IF(COUNT(G173:H173)=2,"No negative predicted (estimate)","Not entered / incomplete"))</f>
        <v>Not entered / incomplete</v>
      </c>
    </row>
    <row r="174" spans="1:19" ht="32" customHeight="1">
      <c r="A174" s="8" t="s">
        <v>187</v>
      </c>
      <c r="B174" s="10"/>
      <c r="C174" s="10"/>
      <c r="D174" s="10"/>
      <c r="E174" s="10"/>
      <c r="F174" s="10"/>
      <c r="G174" s="10"/>
      <c r="H174" s="10"/>
      <c r="I174" s="10"/>
      <c r="L174" s="10"/>
      <c r="O174" s="11">
        <f>IF(ISNUMBER(B174),B174*1000,"")</f>
        <v/>
      </c>
      <c r="P174" s="11">
        <f>IF(ISNUMBER(C174),C174*180/PI(),"")</f>
        <v/>
      </c>
      <c r="Q174" s="11">
        <f>IF(ISNUMBER(E174),E174*1000,"")</f>
        <v/>
      </c>
      <c r="R174" s="11">
        <f>IF(ISNUMBER(F174),F174*1000,"")</f>
        <v/>
      </c>
      <c r="S174" s="11" t="str">
        <f>IF(OR(AND(ISNUMBER(G174),G174&lt;0),AND(ISNUMBER(H174),H174&lt;0)),"VIOLATED - later response unreliable",IF(COUNT(G174:H174)=2,"No negative predicted (estimate)","Not entered / incomplete"))</f>
        <v>Not entered / incomplete</v>
      </c>
    </row>
    <row r="175" spans="1:19" ht="32" customHeight="1">
      <c r="A175" s="8" t="s">
        <v>188</v>
      </c>
      <c r="B175" s="10"/>
      <c r="C175" s="10"/>
      <c r="D175" s="10"/>
      <c r="E175" s="10"/>
      <c r="F175" s="10"/>
      <c r="G175" s="10"/>
      <c r="H175" s="10"/>
      <c r="I175" s="10"/>
      <c r="L175" s="10"/>
      <c r="O175" s="11">
        <f>IF(ISNUMBER(B175),B175*1000,"")</f>
        <v/>
      </c>
      <c r="P175" s="11">
        <f>IF(ISNUMBER(C175),C175*180/PI(),"")</f>
        <v/>
      </c>
      <c r="Q175" s="11">
        <f>IF(ISNUMBER(E175),E175*1000,"")</f>
        <v/>
      </c>
      <c r="R175" s="11">
        <f>IF(ISNUMBER(F175),F175*1000,"")</f>
        <v/>
      </c>
      <c r="S175" s="11" t="str">
        <f>IF(OR(AND(ISNUMBER(G175),G175&lt;0),AND(ISNUMBER(H175),H175&lt;0)),"VIOLATED - later response unreliable",IF(COUNT(G175:H175)=2,"No negative predicted (estimate)","Not entered / incomplete"))</f>
        <v>Not entered / incomplete</v>
      </c>
    </row>
    <row r="176" spans="1:19" ht="32" customHeight="1">
      <c r="A176" s="8" t="s">
        <v>189</v>
      </c>
      <c r="B176" s="10"/>
      <c r="C176" s="10"/>
      <c r="D176" s="10"/>
      <c r="E176" s="10"/>
      <c r="F176" s="10"/>
      <c r="G176" s="10"/>
      <c r="H176" s="10"/>
      <c r="I176" s="10"/>
      <c r="L176" s="10"/>
      <c r="O176" s="11">
        <f>IF(ISNUMBER(B176),B176*1000,"")</f>
        <v/>
      </c>
      <c r="P176" s="11">
        <f>IF(ISNUMBER(C176),C176*180/PI(),"")</f>
        <v/>
      </c>
      <c r="Q176" s="11">
        <f>IF(ISNUMBER(E176),E176*1000,"")</f>
        <v/>
      </c>
      <c r="R176" s="11">
        <f>IF(ISNUMBER(F176),F176*1000,"")</f>
        <v/>
      </c>
      <c r="S176" s="11" t="str">
        <f>IF(OR(AND(ISNUMBER(G176),G176&lt;0),AND(ISNUMBER(H176),H176&lt;0)),"VIOLATED - later response unreliable",IF(COUNT(G176:H176)=2,"No negative predicted (estimate)","Not entered / incomplete"))</f>
        <v>Not entered / incomplete</v>
      </c>
    </row>
    <row r="177" spans="1:19" ht="32" customHeight="1">
      <c r="A177" s="8" t="s">
        <v>190</v>
      </c>
      <c r="B177" s="10"/>
      <c r="C177" s="10"/>
      <c r="D177" s="10"/>
      <c r="E177" s="10"/>
      <c r="F177" s="10"/>
      <c r="G177" s="10"/>
      <c r="H177" s="10"/>
      <c r="I177" s="10"/>
      <c r="L177" s="10"/>
      <c r="O177" s="11">
        <f>IF(ISNUMBER(B177),B177*1000,"")</f>
        <v/>
      </c>
      <c r="P177" s="11">
        <f>IF(ISNUMBER(C177),C177*180/PI(),"")</f>
        <v/>
      </c>
      <c r="Q177" s="11">
        <f>IF(ISNUMBER(E177),E177*1000,"")</f>
        <v/>
      </c>
      <c r="R177" s="11">
        <f>IF(ISNUMBER(F177),F177*1000,"")</f>
        <v/>
      </c>
      <c r="S177" s="11" t="str">
        <f>IF(OR(AND(ISNUMBER(G177),G177&lt;0),AND(ISNUMBER(H177),H177&lt;0)),"VIOLATED - later response unreliable",IF(COUNT(G177:H177)=2,"No negative predicted (estimate)","Not entered / incomplete"))</f>
        <v>Not entered / incomplete</v>
      </c>
    </row>
    <row r="178" spans="1:19" ht="32" customHeight="1">
      <c r="A178" s="8" t="s">
        <v>191</v>
      </c>
      <c r="B178" s="10"/>
      <c r="C178" s="10"/>
      <c r="D178" s="10"/>
      <c r="E178" s="10"/>
      <c r="F178" s="10"/>
      <c r="G178" s="10"/>
      <c r="H178" s="10"/>
      <c r="I178" s="10"/>
      <c r="L178" s="10"/>
      <c r="O178" s="11">
        <f>IF(ISNUMBER(B178),B178*1000,"")</f>
        <v/>
      </c>
      <c r="P178" s="11">
        <f>IF(ISNUMBER(C178),C178*180/PI(),"")</f>
        <v/>
      </c>
      <c r="Q178" s="11">
        <f>IF(ISNUMBER(E178),E178*1000,"")</f>
        <v/>
      </c>
      <c r="R178" s="11">
        <f>IF(ISNUMBER(F178),F178*1000,"")</f>
        <v/>
      </c>
      <c r="S178" s="11" t="str">
        <f>IF(OR(AND(ISNUMBER(G178),G178&lt;0),AND(ISNUMBER(H178),H178&lt;0)),"VIOLATED - later response unreliable",IF(COUNT(G178:H178)=2,"No negative predicted (estimate)","Not entered / incomplete"))</f>
        <v>Not entered / incomplete</v>
      </c>
    </row>
    <row r="179" spans="1:19" ht="32" customHeight="1">
      <c r="A179" s="8" t="s">
        <v>192</v>
      </c>
      <c r="B179" s="10"/>
      <c r="C179" s="10"/>
      <c r="D179" s="10"/>
      <c r="E179" s="10"/>
      <c r="F179" s="10"/>
      <c r="G179" s="10"/>
      <c r="H179" s="10"/>
      <c r="I179" s="10"/>
      <c r="L179" s="10"/>
      <c r="O179" s="11">
        <f>IF(ISNUMBER(B179),B179*1000,"")</f>
        <v/>
      </c>
      <c r="P179" s="11">
        <f>IF(ISNUMBER(C179),C179*180/PI(),"")</f>
        <v/>
      </c>
      <c r="Q179" s="11">
        <f>IF(ISNUMBER(E179),E179*1000,"")</f>
        <v/>
      </c>
      <c r="R179" s="11">
        <f>IF(ISNUMBER(F179),F179*1000,"")</f>
        <v/>
      </c>
      <c r="S179" s="11" t="str">
        <f>IF(OR(AND(ISNUMBER(G179),G179&lt;0),AND(ISNUMBER(H179),H179&lt;0)),"VIOLATED - later response unreliable",IF(COUNT(G179:H179)=2,"No negative predicted (estimate)","Not entered / incomplete"))</f>
        <v>Not entered / incomplete</v>
      </c>
    </row>
    <row r="180" spans="1:19" ht="32" customHeight="1">
      <c r="A180" s="8" t="s">
        <v>193</v>
      </c>
      <c r="B180" s="10"/>
      <c r="C180" s="10"/>
      <c r="D180" s="10"/>
      <c r="E180" s="10"/>
      <c r="F180" s="10"/>
      <c r="G180" s="10"/>
      <c r="H180" s="10"/>
      <c r="I180" s="10"/>
      <c r="L180" s="10"/>
      <c r="O180" s="11">
        <f>IF(ISNUMBER(B180),B180*1000,"")</f>
        <v/>
      </c>
      <c r="P180" s="11">
        <f>IF(ISNUMBER(C180),C180*180/PI(),"")</f>
        <v/>
      </c>
      <c r="Q180" s="11">
        <f>IF(ISNUMBER(E180),E180*1000,"")</f>
        <v/>
      </c>
      <c r="R180" s="11">
        <f>IF(ISNUMBER(F180),F180*1000,"")</f>
        <v/>
      </c>
      <c r="S180" s="11" t="str">
        <f>IF(OR(AND(ISNUMBER(G180),G180&lt;0),AND(ISNUMBER(H180),H180&lt;0)),"VIOLATED - later response unreliable",IF(COUNT(G180:H180)=2,"No negative predicted (estimate)","Not entered / incomplete"))</f>
        <v>Not entered / incomplete</v>
      </c>
    </row>
    <row r="181" spans="1:19" ht="32" customHeight="1">
      <c r="A181" s="8" t="s">
        <v>194</v>
      </c>
      <c r="B181" s="10"/>
      <c r="C181" s="10"/>
      <c r="D181" s="10"/>
      <c r="E181" s="10"/>
      <c r="F181" s="10"/>
      <c r="G181" s="10"/>
      <c r="H181" s="10"/>
      <c r="I181" s="10"/>
      <c r="L181" s="10"/>
      <c r="O181" s="11">
        <f>IF(ISNUMBER(B181),B181*1000,"")</f>
        <v/>
      </c>
      <c r="P181" s="11">
        <f>IF(ISNUMBER(C181),C181*180/PI(),"")</f>
        <v/>
      </c>
      <c r="Q181" s="11">
        <f>IF(ISNUMBER(E181),E181*1000,"")</f>
        <v/>
      </c>
      <c r="R181" s="11">
        <f>IF(ISNUMBER(F181),F181*1000,"")</f>
        <v/>
      </c>
      <c r="S181" s="11" t="str">
        <f>IF(OR(AND(ISNUMBER(G181),G181&lt;0),AND(ISNUMBER(H181),H181&lt;0)),"VIOLATED - later response unreliable",IF(COUNT(G181:H181)=2,"No negative predicted (estimate)","Not entered / incomplete"))</f>
        <v>Not entered / incomplete</v>
      </c>
    </row>
    <row r="182" spans="1:19" ht="32" customHeight="1">
      <c r="A182" s="8" t="s">
        <v>195</v>
      </c>
      <c r="B182" s="10"/>
      <c r="C182" s="10"/>
      <c r="D182" s="10"/>
      <c r="E182" s="10"/>
      <c r="F182" s="10"/>
      <c r="G182" s="10"/>
      <c r="H182" s="10"/>
      <c r="I182" s="10"/>
      <c r="L182" s="10"/>
      <c r="O182" s="11">
        <f>IF(ISNUMBER(B182),B182*1000,"")</f>
        <v/>
      </c>
      <c r="P182" s="11">
        <f>IF(ISNUMBER(C182),C182*180/PI(),"")</f>
        <v/>
      </c>
      <c r="Q182" s="11">
        <f>IF(ISNUMBER(E182),E182*1000,"")</f>
        <v/>
      </c>
      <c r="R182" s="11">
        <f>IF(ISNUMBER(F182),F182*1000,"")</f>
        <v/>
      </c>
      <c r="S182" s="11" t="str">
        <f>IF(OR(AND(ISNUMBER(G182),G182&lt;0),AND(ISNUMBER(H182),H182&lt;0)),"VIOLATED - later response unreliable",IF(COUNT(G182:H182)=2,"No negative predicted (estimate)","Not entered / incomplete"))</f>
        <v>Not entered / incomplete</v>
      </c>
    </row>
    <row r="183" spans="1:19" ht="32" customHeight="1">
      <c r="A183" s="8" t="s">
        <v>196</v>
      </c>
      <c r="B183" s="10"/>
      <c r="C183" s="10"/>
      <c r="D183" s="10"/>
      <c r="E183" s="10"/>
      <c r="F183" s="10"/>
      <c r="G183" s="10"/>
      <c r="H183" s="10"/>
      <c r="I183" s="10"/>
      <c r="L183" s="10"/>
      <c r="O183" s="11">
        <f>IF(ISNUMBER(B183),B183*1000,"")</f>
        <v/>
      </c>
      <c r="P183" s="11">
        <f>IF(ISNUMBER(C183),C183*180/PI(),"")</f>
        <v/>
      </c>
      <c r="Q183" s="11">
        <f>IF(ISNUMBER(E183),E183*1000,"")</f>
        <v/>
      </c>
      <c r="R183" s="11">
        <f>IF(ISNUMBER(F183),F183*1000,"")</f>
        <v/>
      </c>
      <c r="S183" s="11" t="str">
        <f>IF(OR(AND(ISNUMBER(G183),G183&lt;0),AND(ISNUMBER(H183),H183&lt;0)),"VIOLATED - later response unreliable",IF(COUNT(G183:H183)=2,"No negative predicted (estimate)","Not entered / incomplete"))</f>
        <v>Not entered / incomplete</v>
      </c>
    </row>
    <row r="184" spans="1:19" ht="32" customHeight="1">
      <c r="A184" s="8" t="s">
        <v>197</v>
      </c>
      <c r="B184" s="10"/>
      <c r="C184" s="10"/>
      <c r="D184" s="10"/>
      <c r="E184" s="10"/>
      <c r="F184" s="10"/>
      <c r="G184" s="10"/>
      <c r="H184" s="10"/>
      <c r="I184" s="10"/>
      <c r="L184" s="10"/>
      <c r="O184" s="11">
        <f>IF(ISNUMBER(B184),B184*1000,"")</f>
        <v/>
      </c>
      <c r="P184" s="11">
        <f>IF(ISNUMBER(C184),C184*180/PI(),"")</f>
        <v/>
      </c>
      <c r="Q184" s="11">
        <f>IF(ISNUMBER(E184),E184*1000,"")</f>
        <v/>
      </c>
      <c r="R184" s="11">
        <f>IF(ISNUMBER(F184),F184*1000,"")</f>
        <v/>
      </c>
      <c r="S184" s="11" t="str">
        <f>IF(OR(AND(ISNUMBER(G184),G184&lt;0),AND(ISNUMBER(H184),H184&lt;0)),"VIOLATED - later response unreliable",IF(COUNT(G184:H184)=2,"No negative predicted (estimate)","Not entered / incomplete"))</f>
        <v>Not entered / incomplete</v>
      </c>
    </row>
    <row r="185" spans="1:19" ht="32" customHeight="1">
      <c r="A185" s="8" t="s">
        <v>198</v>
      </c>
      <c r="B185" s="10"/>
      <c r="C185" s="10"/>
      <c r="D185" s="10"/>
      <c r="E185" s="10"/>
      <c r="F185" s="10"/>
      <c r="G185" s="10"/>
      <c r="H185" s="10"/>
      <c r="I185" s="10"/>
      <c r="L185" s="10"/>
      <c r="O185" s="11">
        <f>IF(ISNUMBER(B185),B185*1000,"")</f>
        <v/>
      </c>
      <c r="P185" s="11">
        <f>IF(ISNUMBER(C185),C185*180/PI(),"")</f>
        <v/>
      </c>
      <c r="Q185" s="11">
        <f>IF(ISNUMBER(E185),E185*1000,"")</f>
        <v/>
      </c>
      <c r="R185" s="11">
        <f>IF(ISNUMBER(F185),F185*1000,"")</f>
        <v/>
      </c>
      <c r="S185" s="11" t="str">
        <f>IF(OR(AND(ISNUMBER(G185),G185&lt;0),AND(ISNUMBER(H185),H185&lt;0)),"VIOLATED - later response unreliable",IF(COUNT(G185:H185)=2,"No negative predicted (estimate)","Not entered / incomplete"))</f>
        <v>Not entered / incomplete</v>
      </c>
    </row>
    <row r="186" spans="1:19" ht="32" customHeight="1">
      <c r="A186" s="8" t="s">
        <v>199</v>
      </c>
      <c r="B186" s="10"/>
      <c r="C186" s="10"/>
      <c r="D186" s="10"/>
      <c r="E186" s="10"/>
      <c r="F186" s="10"/>
      <c r="G186" s="10"/>
      <c r="H186" s="10"/>
      <c r="I186" s="10"/>
      <c r="L186" s="10"/>
      <c r="O186" s="11">
        <f>IF(ISNUMBER(B186),B186*1000,"")</f>
        <v/>
      </c>
      <c r="P186" s="11">
        <f>IF(ISNUMBER(C186),C186*180/PI(),"")</f>
        <v/>
      </c>
      <c r="Q186" s="11">
        <f>IF(ISNUMBER(E186),E186*1000,"")</f>
        <v/>
      </c>
      <c r="R186" s="11">
        <f>IF(ISNUMBER(F186),F186*1000,"")</f>
        <v/>
      </c>
      <c r="S186" s="11" t="str">
        <f>IF(OR(AND(ISNUMBER(G186),G186&lt;0),AND(ISNUMBER(H186),H186&lt;0)),"VIOLATED - later response unreliable",IF(COUNT(G186:H186)=2,"No negative predicted (estimate)","Not entered / incomplete"))</f>
        <v>Not entered / incomplete</v>
      </c>
    </row>
    <row r="187" spans="1:19" ht="32" customHeight="1">
      <c r="A187" s="8" t="s">
        <v>200</v>
      </c>
      <c r="B187" s="10"/>
      <c r="C187" s="10"/>
      <c r="D187" s="10"/>
      <c r="E187" s="10"/>
      <c r="F187" s="10"/>
      <c r="G187" s="10"/>
      <c r="H187" s="10"/>
      <c r="I187" s="10"/>
      <c r="L187" s="10"/>
      <c r="O187" s="11">
        <f>IF(ISNUMBER(B187),B187*1000,"")</f>
        <v/>
      </c>
      <c r="P187" s="11">
        <f>IF(ISNUMBER(C187),C187*180/PI(),"")</f>
        <v/>
      </c>
      <c r="Q187" s="11">
        <f>IF(ISNUMBER(E187),E187*1000,"")</f>
        <v/>
      </c>
      <c r="R187" s="11">
        <f>IF(ISNUMBER(F187),F187*1000,"")</f>
        <v/>
      </c>
      <c r="S187" s="11" t="str">
        <f>IF(OR(AND(ISNUMBER(G187),G187&lt;0),AND(ISNUMBER(H187),H187&lt;0)),"VIOLATED - later response unreliable",IF(COUNT(G187:H187)=2,"No negative predicted (estimate)","Not entered / incomplete"))</f>
        <v>Not entered / incomplete</v>
      </c>
    </row>
    <row r="188" spans="1:19" ht="32" customHeight="1">
      <c r="A188" s="8" t="s">
        <v>201</v>
      </c>
      <c r="B188" s="10"/>
      <c r="C188" s="10"/>
      <c r="D188" s="10"/>
      <c r="E188" s="10"/>
      <c r="F188" s="10"/>
      <c r="G188" s="10"/>
      <c r="H188" s="10"/>
      <c r="I188" s="10"/>
      <c r="L188" s="10"/>
      <c r="O188" s="11">
        <f>IF(ISNUMBER(B188),B188*1000,"")</f>
        <v/>
      </c>
      <c r="P188" s="11">
        <f>IF(ISNUMBER(C188),C188*180/PI(),"")</f>
        <v/>
      </c>
      <c r="Q188" s="11">
        <f>IF(ISNUMBER(E188),E188*1000,"")</f>
        <v/>
      </c>
      <c r="R188" s="11">
        <f>IF(ISNUMBER(F188),F188*1000,"")</f>
        <v/>
      </c>
      <c r="S188" s="11" t="str">
        <f>IF(OR(AND(ISNUMBER(G188),G188&lt;0),AND(ISNUMBER(H188),H188&lt;0)),"VIOLATED - later response unreliable",IF(COUNT(G188:H188)=2,"No negative predicted (estimate)","Not entered / incomplete"))</f>
        <v>Not entered / incomplete</v>
      </c>
    </row>
    <row r="189" spans="1:19" ht="32" customHeight="1">
      <c r="A189" s="8" t="s">
        <v>202</v>
      </c>
      <c r="B189" s="10"/>
      <c r="C189" s="10"/>
      <c r="D189" s="10"/>
      <c r="E189" s="10"/>
      <c r="F189" s="10"/>
      <c r="G189" s="10"/>
      <c r="H189" s="10"/>
      <c r="I189" s="10"/>
      <c r="L189" s="10"/>
      <c r="O189" s="11">
        <f>IF(ISNUMBER(B189),B189*1000,"")</f>
        <v/>
      </c>
      <c r="P189" s="11">
        <f>IF(ISNUMBER(C189),C189*180/PI(),"")</f>
        <v/>
      </c>
      <c r="Q189" s="11">
        <f>IF(ISNUMBER(E189),E189*1000,"")</f>
        <v/>
      </c>
      <c r="R189" s="11">
        <f>IF(ISNUMBER(F189),F189*1000,"")</f>
        <v/>
      </c>
      <c r="S189" s="11" t="str">
        <f>IF(OR(AND(ISNUMBER(G189),G189&lt;0),AND(ISNUMBER(H189),H189&lt;0)),"VIOLATED - later response unreliable",IF(COUNT(G189:H189)=2,"No negative predicted (estimate)","Not entered / incomplete"))</f>
        <v>Not entered / incomplete</v>
      </c>
    </row>
    <row r="190" spans="1:19" ht="32" customHeight="1">
      <c r="A190" s="8" t="s">
        <v>203</v>
      </c>
      <c r="B190" s="10"/>
      <c r="C190" s="10"/>
      <c r="D190" s="10"/>
      <c r="E190" s="10"/>
      <c r="F190" s="10"/>
      <c r="G190" s="10"/>
      <c r="H190" s="10"/>
      <c r="I190" s="10"/>
      <c r="L190" s="10"/>
      <c r="O190" s="11">
        <f>IF(ISNUMBER(B190),B190*1000,"")</f>
        <v/>
      </c>
      <c r="P190" s="11">
        <f>IF(ISNUMBER(C190),C190*180/PI(),"")</f>
        <v/>
      </c>
      <c r="Q190" s="11">
        <f>IF(ISNUMBER(E190),E190*1000,"")</f>
        <v/>
      </c>
      <c r="R190" s="11">
        <f>IF(ISNUMBER(F190),F190*1000,"")</f>
        <v/>
      </c>
      <c r="S190" s="11" t="str">
        <f>IF(OR(AND(ISNUMBER(G190),G190&lt;0),AND(ISNUMBER(H190),H190&lt;0)),"VIOLATED - later response unreliable",IF(COUNT(G190:H190)=2,"No negative predicted (estimate)","Not entered / incomplete"))</f>
        <v>Not entered / incomplete</v>
      </c>
    </row>
    <row r="191" spans="1:19" ht="32" customHeight="1">
      <c r="A191" s="8" t="s">
        <v>204</v>
      </c>
      <c r="B191" s="10"/>
      <c r="C191" s="10"/>
      <c r="D191" s="10"/>
      <c r="E191" s="10"/>
      <c r="F191" s="10"/>
      <c r="G191" s="10"/>
      <c r="H191" s="10"/>
      <c r="I191" s="10"/>
      <c r="L191" s="10"/>
      <c r="O191" s="11">
        <f>IF(ISNUMBER(B191),B191*1000,"")</f>
        <v/>
      </c>
      <c r="P191" s="11">
        <f>IF(ISNUMBER(C191),C191*180/PI(),"")</f>
        <v/>
      </c>
      <c r="Q191" s="11">
        <f>IF(ISNUMBER(E191),E191*1000,"")</f>
        <v/>
      </c>
      <c r="R191" s="11">
        <f>IF(ISNUMBER(F191),F191*1000,"")</f>
        <v/>
      </c>
      <c r="S191" s="11" t="str">
        <f>IF(OR(AND(ISNUMBER(G191),G191&lt;0),AND(ISNUMBER(H191),H191&lt;0)),"VIOLATED - later response unreliable",IF(COUNT(G191:H191)=2,"No negative predicted (estimate)","Not entered / incomplete"))</f>
        <v>Not entered / incomplete</v>
      </c>
    </row>
    <row r="192" spans="1:19" ht="32" customHeight="1">
      <c r="A192" s="8" t="s">
        <v>205</v>
      </c>
      <c r="B192" s="10"/>
      <c r="C192" s="10"/>
      <c r="D192" s="10"/>
      <c r="E192" s="10"/>
      <c r="F192" s="10"/>
      <c r="G192" s="10"/>
      <c r="H192" s="10"/>
      <c r="I192" s="10"/>
      <c r="L192" s="10"/>
      <c r="O192" s="11">
        <f>IF(ISNUMBER(B192),B192*1000,"")</f>
        <v/>
      </c>
      <c r="P192" s="11">
        <f>IF(ISNUMBER(C192),C192*180/PI(),"")</f>
        <v/>
      </c>
      <c r="Q192" s="11">
        <f>IF(ISNUMBER(E192),E192*1000,"")</f>
        <v/>
      </c>
      <c r="R192" s="11">
        <f>IF(ISNUMBER(F192),F192*1000,"")</f>
        <v/>
      </c>
      <c r="S192" s="11" t="str">
        <f>IF(OR(AND(ISNUMBER(G192),G192&lt;0),AND(ISNUMBER(H192),H192&lt;0)),"VIOLATED - later response unreliable",IF(COUNT(G192:H192)=2,"No negative predicted (estimate)","Not entered / incomplete"))</f>
        <v>Not entered / incomplete</v>
      </c>
    </row>
    <row r="193" spans="1:19" ht="32" customHeight="1">
      <c r="A193" s="8" t="s">
        <v>206</v>
      </c>
      <c r="B193" s="10"/>
      <c r="C193" s="10"/>
      <c r="D193" s="10"/>
      <c r="E193" s="10"/>
      <c r="F193" s="10"/>
      <c r="G193" s="10"/>
      <c r="H193" s="10"/>
      <c r="I193" s="10"/>
      <c r="L193" s="10"/>
      <c r="O193" s="11">
        <f>IF(ISNUMBER(B193),B193*1000,"")</f>
        <v/>
      </c>
      <c r="P193" s="11">
        <f>IF(ISNUMBER(C193),C193*180/PI(),"")</f>
        <v/>
      </c>
      <c r="Q193" s="11">
        <f>IF(ISNUMBER(E193),E193*1000,"")</f>
        <v/>
      </c>
      <c r="R193" s="11">
        <f>IF(ISNUMBER(F193),F193*1000,"")</f>
        <v/>
      </c>
      <c r="S193" s="11" t="str">
        <f>IF(OR(AND(ISNUMBER(G193),G193&lt;0),AND(ISNUMBER(H193),H193&lt;0)),"VIOLATED - later response unreliable",IF(COUNT(G193:H193)=2,"No negative predicted (estimate)","Not entered / incomplete"))</f>
        <v>Not entered / incomplete</v>
      </c>
    </row>
    <row r="194" spans="1:19" ht="32" customHeight="1">
      <c r="A194" s="8" t="s">
        <v>207</v>
      </c>
      <c r="B194" s="10"/>
      <c r="C194" s="10"/>
      <c r="D194" s="10"/>
      <c r="E194" s="10"/>
      <c r="F194" s="10"/>
      <c r="G194" s="10"/>
      <c r="H194" s="10"/>
      <c r="I194" s="10"/>
      <c r="L194" s="10"/>
      <c r="O194" s="11">
        <f>IF(ISNUMBER(B194),B194*1000,"")</f>
        <v/>
      </c>
      <c r="P194" s="11">
        <f>IF(ISNUMBER(C194),C194*180/PI(),"")</f>
        <v/>
      </c>
      <c r="Q194" s="11">
        <f>IF(ISNUMBER(E194),E194*1000,"")</f>
        <v/>
      </c>
      <c r="R194" s="11">
        <f>IF(ISNUMBER(F194),F194*1000,"")</f>
        <v/>
      </c>
      <c r="S194" s="11" t="str">
        <f>IF(OR(AND(ISNUMBER(G194),G194&lt;0),AND(ISNUMBER(H194),H194&lt;0)),"VIOLATED - later response unreliable",IF(COUNT(G194:H194)=2,"No negative predicted (estimate)","Not entered / incomplete"))</f>
        <v>Not entered / incomplete</v>
      </c>
    </row>
    <row r="195" spans="1:19" ht="32" customHeight="1">
      <c r="A195" s="8" t="s">
        <v>208</v>
      </c>
      <c r="B195" s="10"/>
      <c r="C195" s="10"/>
      <c r="D195" s="10"/>
      <c r="E195" s="10"/>
      <c r="F195" s="10"/>
      <c r="G195" s="10"/>
      <c r="H195" s="10"/>
      <c r="I195" s="10"/>
      <c r="L195" s="10"/>
      <c r="O195" s="11">
        <f>IF(ISNUMBER(B195),B195*1000,"")</f>
        <v/>
      </c>
      <c r="P195" s="11">
        <f>IF(ISNUMBER(C195),C195*180/PI(),"")</f>
        <v/>
      </c>
      <c r="Q195" s="11">
        <f>IF(ISNUMBER(E195),E195*1000,"")</f>
        <v/>
      </c>
      <c r="R195" s="11">
        <f>IF(ISNUMBER(F195),F195*1000,"")</f>
        <v/>
      </c>
      <c r="S195" s="11" t="str">
        <f>IF(OR(AND(ISNUMBER(G195),G195&lt;0),AND(ISNUMBER(H195),H195&lt;0)),"VIOLATED - later response unreliable",IF(COUNT(G195:H195)=2,"No negative predicted (estimate)","Not entered / incomplete"))</f>
        <v>Not entered / incomplete</v>
      </c>
    </row>
    <row r="196" spans="1:19" ht="32" customHeight="1">
      <c r="A196" s="8" t="s">
        <v>209</v>
      </c>
      <c r="B196" s="10"/>
      <c r="C196" s="10"/>
      <c r="D196" s="10"/>
      <c r="E196" s="10"/>
      <c r="F196" s="10"/>
      <c r="G196" s="10"/>
      <c r="H196" s="10"/>
      <c r="I196" s="10"/>
      <c r="L196" s="10"/>
      <c r="O196" s="11">
        <f>IF(ISNUMBER(B196),B196*1000,"")</f>
        <v/>
      </c>
      <c r="P196" s="11">
        <f>IF(ISNUMBER(C196),C196*180/PI(),"")</f>
        <v/>
      </c>
      <c r="Q196" s="11">
        <f>IF(ISNUMBER(E196),E196*1000,"")</f>
        <v/>
      </c>
      <c r="R196" s="11">
        <f>IF(ISNUMBER(F196),F196*1000,"")</f>
        <v/>
      </c>
      <c r="S196" s="11" t="str">
        <f>IF(OR(AND(ISNUMBER(G196),G196&lt;0),AND(ISNUMBER(H196),H196&lt;0)),"VIOLATED - later response unreliable",IF(COUNT(G196:H196)=2,"No negative predicted (estimate)","Not entered / incomplete"))</f>
        <v>Not entered / incomplete</v>
      </c>
    </row>
    <row r="197" spans="1:19" ht="32" customHeight="1">
      <c r="A197" s="8" t="s">
        <v>210</v>
      </c>
      <c r="B197" s="10"/>
      <c r="C197" s="10"/>
      <c r="D197" s="10"/>
      <c r="E197" s="10"/>
      <c r="F197" s="10"/>
      <c r="G197" s="10"/>
      <c r="H197" s="10"/>
      <c r="I197" s="10"/>
      <c r="L197" s="10"/>
      <c r="O197" s="11">
        <f>IF(ISNUMBER(B197),B197*1000,"")</f>
        <v/>
      </c>
      <c r="P197" s="11">
        <f>IF(ISNUMBER(C197),C197*180/PI(),"")</f>
        <v/>
      </c>
      <c r="Q197" s="11">
        <f>IF(ISNUMBER(E197),E197*1000,"")</f>
        <v/>
      </c>
      <c r="R197" s="11">
        <f>IF(ISNUMBER(F197),F197*1000,"")</f>
        <v/>
      </c>
      <c r="S197" s="11" t="str">
        <f>IF(OR(AND(ISNUMBER(G197),G197&lt;0),AND(ISNUMBER(H197),H197&lt;0)),"VIOLATED - later response unreliable",IF(COUNT(G197:H197)=2,"No negative predicted (estimate)","Not entered / incomplete"))</f>
        <v>Not entered / incomplete</v>
      </c>
    </row>
    <row r="198" spans="1:19" ht="32" customHeight="1">
      <c r="A198" s="8" t="s">
        <v>211</v>
      </c>
      <c r="B198" s="10"/>
      <c r="C198" s="10"/>
      <c r="D198" s="10"/>
      <c r="E198" s="10"/>
      <c r="F198" s="10"/>
      <c r="G198" s="10"/>
      <c r="H198" s="10"/>
      <c r="I198" s="10"/>
      <c r="L198" s="10"/>
      <c r="O198" s="11">
        <f>IF(ISNUMBER(B198),B198*1000,"")</f>
        <v/>
      </c>
      <c r="P198" s="11">
        <f>IF(ISNUMBER(C198),C198*180/PI(),"")</f>
        <v/>
      </c>
      <c r="Q198" s="11">
        <f>IF(ISNUMBER(E198),E198*1000,"")</f>
        <v/>
      </c>
      <c r="R198" s="11">
        <f>IF(ISNUMBER(F198),F198*1000,"")</f>
        <v/>
      </c>
      <c r="S198" s="11" t="str">
        <f>IF(OR(AND(ISNUMBER(G198),G198&lt;0),AND(ISNUMBER(H198),H198&lt;0)),"VIOLATED - later response unreliable",IF(COUNT(G198:H198)=2,"No negative predicted (estimate)","Not entered / incomplete"))</f>
        <v>Not entered / incomplete</v>
      </c>
    </row>
    <row r="199" spans="1:19" ht="32" customHeight="1">
      <c r="A199" s="8" t="s">
        <v>212</v>
      </c>
      <c r="B199" s="10"/>
      <c r="C199" s="10"/>
      <c r="D199" s="10"/>
      <c r="E199" s="10"/>
      <c r="F199" s="10"/>
      <c r="G199" s="10"/>
      <c r="H199" s="10"/>
      <c r="I199" s="10"/>
      <c r="L199" s="10"/>
      <c r="O199" s="11">
        <f>IF(ISNUMBER(B199),B199*1000,"")</f>
        <v/>
      </c>
      <c r="P199" s="11">
        <f>IF(ISNUMBER(C199),C199*180/PI(),"")</f>
        <v/>
      </c>
      <c r="Q199" s="11">
        <f>IF(ISNUMBER(E199),E199*1000,"")</f>
        <v/>
      </c>
      <c r="R199" s="11">
        <f>IF(ISNUMBER(F199),F199*1000,"")</f>
        <v/>
      </c>
      <c r="S199" s="11" t="str">
        <f>IF(OR(AND(ISNUMBER(G199),G199&lt;0),AND(ISNUMBER(H199),H199&lt;0)),"VIOLATED - later response unreliable",IF(COUNT(G199:H199)=2,"No negative predicted (estimate)","Not entered / incomplete"))</f>
        <v>Not entered / incomplete</v>
      </c>
    </row>
    <row r="200" spans="1:19" ht="32" customHeight="1">
      <c r="A200" s="8" t="s">
        <v>213</v>
      </c>
      <c r="B200" s="10"/>
      <c r="C200" s="10"/>
      <c r="D200" s="10"/>
      <c r="E200" s="10"/>
      <c r="F200" s="10"/>
      <c r="G200" s="10"/>
      <c r="H200" s="10"/>
      <c r="I200" s="10"/>
      <c r="L200" s="10"/>
      <c r="O200" s="11">
        <f>IF(ISNUMBER(B200),B200*1000,"")</f>
        <v/>
      </c>
      <c r="P200" s="11">
        <f>IF(ISNUMBER(C200),C200*180/PI(),"")</f>
        <v/>
      </c>
      <c r="Q200" s="11">
        <f>IF(ISNUMBER(E200),E200*1000,"")</f>
        <v/>
      </c>
      <c r="R200" s="11">
        <f>IF(ISNUMBER(F200),F200*1000,"")</f>
        <v/>
      </c>
      <c r="S200" s="11" t="str">
        <f>IF(OR(AND(ISNUMBER(G200),G200&lt;0),AND(ISNUMBER(H200),H200&lt;0)),"VIOLATED - later response unreliable",IF(COUNT(G200:H200)=2,"No negative predicted (estimate)","Not entered / incomplete"))</f>
        <v>Not entered / incomplete</v>
      </c>
    </row>
    <row r="201" spans="1:19" ht="32" customHeight="1">
      <c r="A201" s="8" t="s">
        <v>214</v>
      </c>
      <c r="B201" s="10"/>
      <c r="C201" s="10"/>
      <c r="D201" s="10"/>
      <c r="E201" s="10"/>
      <c r="F201" s="10"/>
      <c r="G201" s="10"/>
      <c r="H201" s="10"/>
      <c r="I201" s="10"/>
      <c r="L201" s="10"/>
      <c r="O201" s="11">
        <f>IF(ISNUMBER(B201),B201*1000,"")</f>
        <v/>
      </c>
      <c r="P201" s="11">
        <f>IF(ISNUMBER(C201),C201*180/PI(),"")</f>
        <v/>
      </c>
      <c r="Q201" s="11">
        <f>IF(ISNUMBER(E201),E201*1000,"")</f>
        <v/>
      </c>
      <c r="R201" s="11">
        <f>IF(ISNUMBER(F201),F201*1000,"")</f>
        <v/>
      </c>
      <c r="S201" s="11" t="str">
        <f>IF(OR(AND(ISNUMBER(G201),G201&lt;0),AND(ISNUMBER(H201),H201&lt;0)),"VIOLATED - later response unreliable",IF(COUNT(G201:H201)=2,"No negative predicted (estimate)","Not entered / incomplete"))</f>
        <v>Not entered / incomplete</v>
      </c>
    </row>
    <row r="202" spans="1:19" ht="32" customHeight="1">
      <c r="A202" s="8" t="s">
        <v>215</v>
      </c>
      <c r="B202" s="10"/>
      <c r="C202" s="10"/>
      <c r="D202" s="10"/>
      <c r="E202" s="10"/>
      <c r="F202" s="10"/>
      <c r="G202" s="10"/>
      <c r="H202" s="10"/>
      <c r="I202" s="10"/>
      <c r="L202" s="10"/>
      <c r="O202" s="11">
        <f>IF(ISNUMBER(B202),B202*1000,"")</f>
        <v/>
      </c>
      <c r="P202" s="11">
        <f>IF(ISNUMBER(C202),C202*180/PI(),"")</f>
        <v/>
      </c>
      <c r="Q202" s="11">
        <f>IF(ISNUMBER(E202),E202*1000,"")</f>
        <v/>
      </c>
      <c r="R202" s="11">
        <f>IF(ISNUMBER(F202),F202*1000,"")</f>
        <v/>
      </c>
      <c r="S202" s="11" t="str">
        <f>IF(OR(AND(ISNUMBER(G202),G202&lt;0),AND(ISNUMBER(H202),H202&lt;0)),"VIOLATED - later response unreliable",IF(COUNT(G202:H202)=2,"No negative predicted (estimate)","Not entered / incomplete"))</f>
        <v>Not entered / incomplete</v>
      </c>
    </row>
    <row r="203" spans="1:19" ht="32" customHeight="1">
      <c r="A203" s="8" t="s">
        <v>216</v>
      </c>
      <c r="B203" s="10"/>
      <c r="C203" s="10"/>
      <c r="D203" s="10"/>
      <c r="E203" s="10"/>
      <c r="F203" s="10"/>
      <c r="G203" s="10"/>
      <c r="H203" s="10"/>
      <c r="I203" s="10"/>
      <c r="L203" s="10"/>
      <c r="O203" s="11">
        <f>IF(ISNUMBER(B203),B203*1000,"")</f>
        <v/>
      </c>
      <c r="P203" s="11">
        <f>IF(ISNUMBER(C203),C203*180/PI(),"")</f>
        <v/>
      </c>
      <c r="Q203" s="11">
        <f>IF(ISNUMBER(E203),E203*1000,"")</f>
        <v/>
      </c>
      <c r="R203" s="11">
        <f>IF(ISNUMBER(F203),F203*1000,"")</f>
        <v/>
      </c>
      <c r="S203" s="11" t="str">
        <f>IF(OR(AND(ISNUMBER(G203),G203&lt;0),AND(ISNUMBER(H203),H203&lt;0)),"VIOLATED - later response unreliable",IF(COUNT(G203:H203)=2,"No negative predicted (estimate)","Not entered / incomplete"))</f>
        <v>Not entered / incomplete</v>
      </c>
    </row>
    <row r="204" spans="1:19" ht="32" customHeight="1">
      <c r="A204" s="8" t="s">
        <v>217</v>
      </c>
      <c r="B204" s="10"/>
      <c r="C204" s="10"/>
      <c r="D204" s="10"/>
      <c r="E204" s="10"/>
      <c r="F204" s="10"/>
      <c r="G204" s="10"/>
      <c r="H204" s="10"/>
      <c r="I204" s="10"/>
      <c r="L204" s="10"/>
      <c r="O204" s="11">
        <f>IF(ISNUMBER(B204),B204*1000,"")</f>
        <v/>
      </c>
      <c r="P204" s="11">
        <f>IF(ISNUMBER(C204),C204*180/PI(),"")</f>
        <v/>
      </c>
      <c r="Q204" s="11">
        <f>IF(ISNUMBER(E204),E204*1000,"")</f>
        <v/>
      </c>
      <c r="R204" s="11">
        <f>IF(ISNUMBER(F204),F204*1000,"")</f>
        <v/>
      </c>
      <c r="S204" s="11" t="str">
        <f>IF(OR(AND(ISNUMBER(G204),G204&lt;0),AND(ISNUMBER(H204),H204&lt;0)),"VIOLATED - later response unreliable",IF(COUNT(G204:H204)=2,"No negative predicted (estimate)","Not entered / incomplete"))</f>
        <v>Not entered / incomplete</v>
      </c>
    </row>
    <row r="205" spans="1:19" ht="32" customHeight="1">
      <c r="A205" s="8" t="s">
        <v>218</v>
      </c>
      <c r="B205" s="10"/>
      <c r="C205" s="10"/>
      <c r="D205" s="10"/>
      <c r="E205" s="10"/>
      <c r="F205" s="10"/>
      <c r="G205" s="10"/>
      <c r="H205" s="10"/>
      <c r="I205" s="10"/>
      <c r="L205" s="10"/>
      <c r="O205" s="11">
        <f>IF(ISNUMBER(B205),B205*1000,"")</f>
        <v/>
      </c>
      <c r="P205" s="11">
        <f>IF(ISNUMBER(C205),C205*180/PI(),"")</f>
        <v/>
      </c>
      <c r="Q205" s="11">
        <f>IF(ISNUMBER(E205),E205*1000,"")</f>
        <v/>
      </c>
      <c r="R205" s="11">
        <f>IF(ISNUMBER(F205),F205*1000,"")</f>
        <v/>
      </c>
      <c r="S205" s="11" t="str">
        <f>IF(OR(AND(ISNUMBER(G205),G205&lt;0),AND(ISNUMBER(H205),H205&lt;0)),"VIOLATED - later response unreliable",IF(COUNT(G205:H205)=2,"No negative predicted (estimate)","Not entered / incomplete"))</f>
        <v>Not entered / incomplete</v>
      </c>
    </row>
  </sheetData>
  <mergeCells count="2">
    <mergeCell ref="A1:S1"/>
    <mergeCell ref="A2:S3"/>
  </mergeCells>
  <conditionalFormatting sqref="G6:G205">
    <cfRule type="cellIs" dxfId="0" priority="1" operator="lessThan">
      <formula>0</formula>
    </cfRule>
  </conditionalFormatting>
  <conditionalFormatting sqref="H6:H205">
    <cfRule type="cellIs" dxfId="0" priority="2" operator="lessThan">
      <formula>0</formula>
    </cfRule>
  </conditionalFormatting>
  <conditionalFormatting sqref="K6:K205">
    <cfRule type="containsText" dxfId="0" priority="3" operator="containsText" text="FAIL">
      <formula>NOT(ISERROR(SEARCH("FAIL",K6)))</formula>
    </cfRule>
    <cfRule type="containsText" dxfId="1" priority="4" operator="containsText" text="PASS">
      <formula>NOT(ISERROR(SEARCH("PASS",K6)))</formula>
    </cfRule>
  </conditionalFormatting>
  <conditionalFormatting sqref="S6:S205">
    <cfRule type="containsText" dxfId="0" priority="5" operator="containsText" text="VIOLATED">
      <formula>NOT(ISERROR(SEARCH("VIOLATED",S6)))</formula>
    </cfRule>
  </conditionalFormatting>
  <dataValidations count="9">
    <dataValidation type="decimal" operator="greaterThanOrEqual" allowBlank="1" showInputMessage="1" showErrorMessage="1" errorTitle="Check this input" error="Use a numeric value in the units shown." promptTitle="Units matter" prompt="Read the header comment or Field Guide." sqref="B6:B205">
      <formula1>0</formula1>
    </dataValidation>
    <dataValidation type="decimal" operator="greaterThanOrEqual" allowBlank="1" showInputMessage="1" showErrorMessage="1" errorTitle="Check this input" error="Use a numeric value in the units shown." promptTitle="Units matter" prompt="Read the header comment or Field Guide." sqref="C6:C205">
      <formula1>0</formula1>
    </dataValidation>
    <dataValidation type="decimal" operator="greaterThanOrEqual" allowBlank="1" showInputMessage="1" showErrorMessage="1" errorTitle="Check this input" error="Use a numeric value in the units shown." promptTitle="Units matter" prompt="Read the header comment or Field Guide." sqref="D6:D205">
      <formula1>0</formula1>
    </dataValidation>
    <dataValidation type="decimal" operator="greaterThanOrEqual" allowBlank="1" showInputMessage="1" showErrorMessage="1" errorTitle="Check this input" error="Use a numeric value in the units shown." promptTitle="Units matter" prompt="Read the header comment or Field Guide." sqref="E6:E205">
      <formula1>0</formula1>
    </dataValidation>
    <dataValidation type="decimal" operator="greaterThanOrEqual" allowBlank="1" showInputMessage="1" showErrorMessage="1" errorTitle="Check this input" error="Use a numeric value in the units shown." promptTitle="Units matter" prompt="Read the header comment or Field Guide." sqref="F6:F205">
      <formula1>0</formula1>
    </dataValidation>
    <dataValidation type="decimal" operator="greaterThanOrEqual" allowBlank="1" showInputMessage="1" showErrorMessage="1" errorTitle="Check this input" error="Use a numeric value in the units shown." promptTitle="Units matter" prompt="Read the header comment or Field Guide." sqref="I6:I205">
      <formula1>0</formula1>
    </dataValidation>
    <dataValidation type="decimal" operator="greaterThanOrEqual" allowBlank="1" showInputMessage="1" showErrorMessage="1" errorTitle="Check this input" error="Use a numeric value in the units shown." promptTitle="Units matter" prompt="Read the header comment or Field Guide." sqref="L6:L205">
      <formula1>0</formula1>
    </dataValidation>
    <dataValidation type="list" allowBlank="1" showInputMessage="1" showErrorMessage="1" sqref="K6:K205">
      <formula1>"Not checked,PASS,FAIL"</formula1>
    </dataValidation>
    <dataValidation type="list" allowBlank="1" showInputMessage="1" showErrorMessage="1" sqref="M6:M205">
      <formula1>"Not validated,Compared to test,Validated in stated range"</formula1>
    </dataValidation>
  </dataValidations>
  <pageMargins left="0.7" right="0.7" top="0.75" bottom="0.75" header="0.3" footer="0.3"/>
  <pageSetup paperSize="9"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7F7A"/>
    <pageSetUpPr fitToPage="1"/>
  </sheetPr>
  <dimension ref="A1:M88"/>
  <sheetViews>
    <sheetView showGridLines="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40.7109375" customWidth="1"/>
    <col min="2" max="2" width="27.7109375" customWidth="1"/>
    <col min="3" max="3" width="17.7109375" customWidth="1"/>
    <col min="4" max="4" width="27.7109375" customWidth="1"/>
    <col min="5" max="5" width="25.7109375" customWidth="1"/>
    <col min="6" max="6" width="60.7109375" customWidth="1"/>
    <col min="8" max="13" width="16.7109375" customWidth="1"/>
  </cols>
  <sheetData>
    <row r="1" spans="1:6" ht="38" customHeight="1">
      <c r="A1" s="1" t="s">
        <v>303</v>
      </c>
      <c r="B1" s="1"/>
      <c r="C1" s="1"/>
      <c r="D1" s="1"/>
      <c r="E1" s="1"/>
      <c r="F1" s="1"/>
    </row>
    <row r="2" spans="1:6">
      <c r="A2" s="2" t="s">
        <v>304</v>
      </c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B4" s="13" t="s">
        <v>305</v>
      </c>
      <c r="D4" s="13" t="s">
        <v>306</v>
      </c>
    </row>
    <row r="5" spans="1:6">
      <c r="B5" s="9" t="s">
        <v>19</v>
      </c>
      <c r="D5" s="9" t="s">
        <v>20</v>
      </c>
    </row>
    <row r="7" spans="1:6" ht="32" customHeight="1">
      <c r="A7" s="7" t="s">
        <v>307</v>
      </c>
      <c r="B7" s="7" t="s">
        <v>305</v>
      </c>
      <c r="C7" s="7" t="s">
        <v>308</v>
      </c>
      <c r="D7" s="7" t="s">
        <v>306</v>
      </c>
      <c r="E7" s="7" t="s">
        <v>309</v>
      </c>
      <c r="F7" s="7" t="s">
        <v>310</v>
      </c>
    </row>
    <row r="8" spans="1:6" ht="24" customHeight="1">
      <c r="A8" s="3" t="s">
        <v>311</v>
      </c>
      <c r="B8" s="3"/>
      <c r="C8" s="3"/>
      <c r="D8" s="3"/>
      <c r="E8" s="3"/>
      <c r="F8" s="3"/>
    </row>
    <row r="9" spans="1:6" ht="35" customHeight="1">
      <c r="A9" s="13" t="s">
        <v>3</v>
      </c>
      <c r="B9" s="11">
        <f>IFERROR(IF(COUNTIFS('Run Index'!$A$6:$A$205,$B$5,'Run Index'!$B$6:$B$205,"&lt;&gt;")=0,"",INDEX('Run Index'!$B$6:$B$205,MATCH($B$5,'Run Index'!$A$6:$A$205,0))),"")</f>
        <v/>
      </c>
      <c r="C9" s="4"/>
      <c r="D9" s="11">
        <f>IFERROR(IF(COUNTIFS('Run Index'!$A$6:$A$205,$D$5,'Run Index'!$B$6:$B$205,"&lt;&gt;")=0,"",INDEX('Run Index'!$B$6:$B$205,MATCH($D$5,'Run Index'!$A$6:$A$205,0))),"")</f>
        <v/>
      </c>
      <c r="E9" s="11">
        <f>IF(AND(ISNUMBER(B9),ISNUMBER(D9)),D9-B9,"")</f>
        <v/>
      </c>
      <c r="F9" s="4" t="s">
        <v>312</v>
      </c>
    </row>
    <row r="10" spans="1:6" ht="35" customHeight="1">
      <c r="A10" s="13" t="s">
        <v>6</v>
      </c>
      <c r="B10" s="11">
        <f>IFERROR(IF(COUNTIFS('Run Index'!$A$6:$A$205,$B$5,'Run Index'!$E$6:$E$205,"&lt;&gt;")=0,"",INDEX('Run Index'!$E$6:$E$205,MATCH($B$5,'Run Index'!$A$6:$A$205,0))),"")</f>
        <v/>
      </c>
      <c r="C10" s="4"/>
      <c r="D10" s="11">
        <f>IFERROR(IF(COUNTIFS('Run Index'!$A$6:$A$205,$D$5,'Run Index'!$E$6:$E$205,"&lt;&gt;")=0,"",INDEX('Run Index'!$E$6:$E$205,MATCH($D$5,'Run Index'!$A$6:$A$205,0))),"")</f>
        <v/>
      </c>
      <c r="E10" s="11">
        <f>IF(AND(ISNUMBER(B10),ISNUMBER(D10)),D10-B10,"")</f>
        <v/>
      </c>
      <c r="F10" s="4" t="s">
        <v>313</v>
      </c>
    </row>
    <row r="11" spans="1:6" ht="35" customHeight="1">
      <c r="A11" s="13" t="s">
        <v>8</v>
      </c>
      <c r="B11" s="11">
        <f>IFERROR(IF(COUNTIFS('Run Index'!$A$6:$A$205,$B$5,'Run Index'!$G$6:$G$205,"&lt;&gt;")=0,"",INDEX('Run Index'!$G$6:$G$205,MATCH($B$5,'Run Index'!$A$6:$A$205,0))),"")</f>
        <v/>
      </c>
      <c r="C11" s="4"/>
      <c r="D11" s="11">
        <f>IFERROR(IF(COUNTIFS('Run Index'!$A$6:$A$205,$D$5,'Run Index'!$G$6:$G$205,"&lt;&gt;")=0,"",INDEX('Run Index'!$G$6:$G$205,MATCH($D$5,'Run Index'!$A$6:$A$205,0))),"")</f>
        <v/>
      </c>
      <c r="E11" s="11">
        <f>IF(AND(ISNUMBER(B11),ISNUMBER(D11)),D11-B11,"")</f>
        <v/>
      </c>
      <c r="F11" s="4" t="s">
        <v>314</v>
      </c>
    </row>
    <row r="12" spans="1:6" ht="35" customHeight="1">
      <c r="A12" s="13" t="s">
        <v>315</v>
      </c>
      <c r="B12" s="11">
        <f>IFERROR(IF(COUNTIFS('Run Index'!$A$6:$A$205,$B$5,'Run Index'!$I$6:$I$205,"&lt;&gt;")=0,"",INDEX('Run Index'!$I$6:$I$205,MATCH($B$5,'Run Index'!$A$6:$A$205,0))),"")</f>
        <v/>
      </c>
      <c r="C12" s="4"/>
      <c r="D12" s="11">
        <f>IFERROR(IF(COUNTIFS('Run Index'!$A$6:$A$205,$D$5,'Run Index'!$I$6:$I$205,"&lt;&gt;")=0,"",INDEX('Run Index'!$I$6:$I$205,MATCH($D$5,'Run Index'!$A$6:$A$205,0))),"")</f>
        <v/>
      </c>
      <c r="E12" s="11">
        <f>IF(AND(ISNUMBER(B12),ISNUMBER(D12)),D12-B12,"")</f>
        <v/>
      </c>
      <c r="F12" s="4" t="s">
        <v>316</v>
      </c>
    </row>
    <row r="13" spans="1:6" ht="35" customHeight="1">
      <c r="A13" s="13" t="s">
        <v>317</v>
      </c>
      <c r="B13" s="11">
        <f>IFERROR(IF(COUNTIFS('Run Index'!$A$6:$A$205,$B$5,'Run Index'!$J$6:$J$205,"&lt;&gt;")=0,"",INDEX('Run Index'!$J$6:$J$205,MATCH($B$5,'Run Index'!$A$6:$A$205,0))),"")</f>
        <v/>
      </c>
      <c r="C13" s="4"/>
      <c r="D13" s="11">
        <f>IFERROR(IF(COUNTIFS('Run Index'!$A$6:$A$205,$D$5,'Run Index'!$J$6:$J$205,"&lt;&gt;")=0,"",INDEX('Run Index'!$J$6:$J$205,MATCH($D$5,'Run Index'!$A$6:$A$205,0))),"")</f>
        <v/>
      </c>
      <c r="E13" s="11">
        <f>IF(AND(ISNUMBER(B13),ISNUMBER(D13)),D13-B13,"")</f>
        <v/>
      </c>
      <c r="F13" s="4" t="s">
        <v>318</v>
      </c>
    </row>
    <row r="14" spans="1:6" ht="35" customHeight="1">
      <c r="A14" s="13" t="s">
        <v>319</v>
      </c>
      <c r="B14" s="11">
        <f>IFERROR(IF(COUNTIFS('Run Index'!$A$6:$A$205,$B$5,'Run Index'!$K$6:$K$205,"&lt;&gt;")=0,"",INDEX('Run Index'!$K$6:$K$205,MATCH($B$5,'Run Index'!$A$6:$A$205,0))),"")</f>
        <v/>
      </c>
      <c r="C14" s="4"/>
      <c r="D14" s="11">
        <f>IFERROR(IF(COUNTIFS('Run Index'!$A$6:$A$205,$D$5,'Run Index'!$K$6:$K$205,"&lt;&gt;")=0,"",INDEX('Run Index'!$K$6:$K$205,MATCH($D$5,'Run Index'!$A$6:$A$205,0))),"")</f>
        <v/>
      </c>
      <c r="E14" s="11">
        <f>IF(AND(ISNUMBER(B14),ISNUMBER(D14)),D14-B14,"")</f>
        <v/>
      </c>
      <c r="F14" s="4" t="s">
        <v>320</v>
      </c>
    </row>
    <row r="15" spans="1:6" ht="24" customHeight="1">
      <c r="A15" s="3" t="s">
        <v>321</v>
      </c>
      <c r="B15" s="3"/>
      <c r="C15" s="3"/>
      <c r="D15" s="3"/>
      <c r="E15" s="3"/>
      <c r="F15" s="3"/>
    </row>
    <row r="16" spans="1:6" ht="35" customHeight="1">
      <c r="A16" s="13" t="s">
        <v>225</v>
      </c>
      <c r="B16" s="11">
        <f>IFERROR(IF(COUNTIFS('Vehicle Inputs'!$A$6:$A$205,$B$5,'Vehicle Inputs'!$B$6:$B$205,"&lt;&gt;")=0,"",INDEX('Vehicle Inputs'!$B$6:$B$205,MATCH($B$5,'Vehicle Inputs'!$A$6:$A$205,0))),"")</f>
        <v/>
      </c>
      <c r="C16" s="4"/>
      <c r="D16" s="11">
        <f>IFERROR(IF(COUNTIFS('Vehicle Inputs'!$A$6:$A$205,$D$5,'Vehicle Inputs'!$B$6:$B$205,"&lt;&gt;")=0,"",INDEX('Vehicle Inputs'!$B$6:$B$205,MATCH($D$5,'Vehicle Inputs'!$A$6:$A$205,0))),"")</f>
        <v/>
      </c>
      <c r="E16" s="11">
        <f>IF(AND(ISNUMBER(B16),ISNUMBER(D16)),D16-B16,"")</f>
        <v/>
      </c>
      <c r="F16" s="4" t="s">
        <v>322</v>
      </c>
    </row>
    <row r="17" spans="1:6" ht="35" customHeight="1">
      <c r="A17" s="13" t="s">
        <v>323</v>
      </c>
      <c r="B17" s="11">
        <f>IFERROR(IF(COUNTIFS('Vehicle Inputs'!$A$6:$A$205,$B$5,'Vehicle Inputs'!$C$6:$C$205,"&lt;&gt;")=0,"",INDEX('Vehicle Inputs'!$C$6:$C$205,MATCH($B$5,'Vehicle Inputs'!$A$6:$A$205,0))),"")</f>
        <v/>
      </c>
      <c r="C17" s="4" t="s">
        <v>324</v>
      </c>
      <c r="D17" s="11">
        <f>IFERROR(IF(COUNTIFS('Vehicle Inputs'!$A$6:$A$205,$D$5,'Vehicle Inputs'!$C$6:$C$205,"&lt;&gt;")=0,"",INDEX('Vehicle Inputs'!$C$6:$C$205,MATCH($D$5,'Vehicle Inputs'!$A$6:$A$205,0))),"")</f>
        <v/>
      </c>
      <c r="E17" s="11">
        <f>IF(AND(ISNUMBER(B17),ISNUMBER(D17)),D17-B17,"")</f>
        <v/>
      </c>
      <c r="F17" s="4" t="s">
        <v>325</v>
      </c>
    </row>
    <row r="18" spans="1:6" ht="35" customHeight="1">
      <c r="A18" s="13" t="s">
        <v>326</v>
      </c>
      <c r="B18" s="11">
        <f>IFERROR(IF(COUNTIFS('Vehicle Inputs'!$A$6:$A$205,$B$5,'Vehicle Inputs'!$D$6:$D$205,"&lt;&gt;")=0,"",INDEX('Vehicle Inputs'!$D$6:$D$205,MATCH($B$5,'Vehicle Inputs'!$A$6:$A$205,0))),"")</f>
        <v/>
      </c>
      <c r="C18" s="4" t="s">
        <v>324</v>
      </c>
      <c r="D18" s="11">
        <f>IFERROR(IF(COUNTIFS('Vehicle Inputs'!$A$6:$A$205,$D$5,'Vehicle Inputs'!$D$6:$D$205,"&lt;&gt;")=0,"",INDEX('Vehicle Inputs'!$D$6:$D$205,MATCH($D$5,'Vehicle Inputs'!$A$6:$A$205,0))),"")</f>
        <v/>
      </c>
      <c r="E18" s="11">
        <f>IF(AND(ISNUMBER(B18),ISNUMBER(D18)),D18-B18,"")</f>
        <v/>
      </c>
      <c r="F18" s="4" t="s">
        <v>327</v>
      </c>
    </row>
    <row r="19" spans="1:6" ht="35" customHeight="1">
      <c r="A19" s="13" t="s">
        <v>328</v>
      </c>
      <c r="B19" s="11">
        <f>IFERROR(IF(COUNTIFS('Vehicle Inputs'!$A$6:$A$205,$B$5,'Vehicle Inputs'!$E$6:$E$205,"&lt;&gt;")=0,"",INDEX('Vehicle Inputs'!$E$6:$E$205,MATCH($B$5,'Vehicle Inputs'!$A$6:$A$205,0))),"")</f>
        <v/>
      </c>
      <c r="C19" s="4" t="s">
        <v>324</v>
      </c>
      <c r="D19" s="11">
        <f>IFERROR(IF(COUNTIFS('Vehicle Inputs'!$A$6:$A$205,$D$5,'Vehicle Inputs'!$E$6:$E$205,"&lt;&gt;")=0,"",INDEX('Vehicle Inputs'!$E$6:$E$205,MATCH($D$5,'Vehicle Inputs'!$A$6:$A$205,0))),"")</f>
        <v/>
      </c>
      <c r="E19" s="11">
        <f>IF(AND(ISNUMBER(B19),ISNUMBER(D19)),D19-B19,"")</f>
        <v/>
      </c>
      <c r="F19" s="4" t="s">
        <v>327</v>
      </c>
    </row>
    <row r="20" spans="1:6" ht="35" customHeight="1">
      <c r="A20" s="13" t="s">
        <v>329</v>
      </c>
      <c r="B20" s="11">
        <f>IFERROR(IF(COUNTIFS('Vehicle Inputs'!$A$6:$A$205,$B$5,'Vehicle Inputs'!$F$6:$F$205,"&lt;&gt;")=0,"",INDEX('Vehicle Inputs'!$F$6:$F$205,MATCH($B$5,'Vehicle Inputs'!$A$6:$A$205,0))),"")</f>
        <v/>
      </c>
      <c r="C20" s="4" t="s">
        <v>330</v>
      </c>
      <c r="D20" s="11">
        <f>IFERROR(IF(COUNTIFS('Vehicle Inputs'!$A$6:$A$205,$D$5,'Vehicle Inputs'!$F$6:$F$205,"&lt;&gt;")=0,"",INDEX('Vehicle Inputs'!$F$6:$F$205,MATCH($D$5,'Vehicle Inputs'!$A$6:$A$205,0))),"")</f>
        <v/>
      </c>
      <c r="E20" s="11">
        <f>IF(AND(ISNUMBER(B20),ISNUMBER(D20)),D20-B20,"")</f>
        <v/>
      </c>
      <c r="F20" s="4" t="s">
        <v>331</v>
      </c>
    </row>
    <row r="21" spans="1:6" ht="35" customHeight="1">
      <c r="A21" s="13" t="s">
        <v>332</v>
      </c>
      <c r="B21" s="11">
        <f>IFERROR(IF(COUNTIFS('Vehicle Inputs'!$A$6:$A$205,$B$5,'Vehicle Inputs'!$G$6:$G$205,"&lt;&gt;")=0,"",INDEX('Vehicle Inputs'!$G$6:$G$205,MATCH($B$5,'Vehicle Inputs'!$A$6:$A$205,0))),"")</f>
        <v/>
      </c>
      <c r="C21" s="4" t="s">
        <v>333</v>
      </c>
      <c r="D21" s="11">
        <f>IFERROR(IF(COUNTIFS('Vehicle Inputs'!$A$6:$A$205,$D$5,'Vehicle Inputs'!$G$6:$G$205,"&lt;&gt;")=0,"",INDEX('Vehicle Inputs'!$G$6:$G$205,MATCH($D$5,'Vehicle Inputs'!$A$6:$A$205,0))),"")</f>
        <v/>
      </c>
      <c r="E21" s="11">
        <f>IF(AND(ISNUMBER(B21),ISNUMBER(D21)),D21-B21,"")</f>
        <v/>
      </c>
      <c r="F21" s="4" t="s">
        <v>334</v>
      </c>
    </row>
    <row r="22" spans="1:6" ht="35" customHeight="1">
      <c r="A22" s="13" t="s">
        <v>335</v>
      </c>
      <c r="B22" s="11">
        <f>IFERROR(IF(COUNTIFS('Vehicle Inputs'!$A$6:$A$205,$B$5,'Vehicle Inputs'!$H$6:$H$205,"&lt;&gt;")=0,"",INDEX('Vehicle Inputs'!$H$6:$H$205,MATCH($B$5,'Vehicle Inputs'!$A$6:$A$205,0))),"")</f>
        <v/>
      </c>
      <c r="C22" s="4" t="s">
        <v>333</v>
      </c>
      <c r="D22" s="11">
        <f>IFERROR(IF(COUNTIFS('Vehicle Inputs'!$A$6:$A$205,$D$5,'Vehicle Inputs'!$H$6:$H$205,"&lt;&gt;")=0,"",INDEX('Vehicle Inputs'!$H$6:$H$205,MATCH($D$5,'Vehicle Inputs'!$A$6:$A$205,0))),"")</f>
        <v/>
      </c>
      <c r="E22" s="11">
        <f>IF(AND(ISNUMBER(B22),ISNUMBER(D22)),D22-B22,"")</f>
        <v/>
      </c>
      <c r="F22" s="4" t="s">
        <v>334</v>
      </c>
    </row>
    <row r="23" spans="1:6" ht="35" customHeight="1">
      <c r="A23" s="13" t="s">
        <v>336</v>
      </c>
      <c r="B23" s="11">
        <f>IFERROR(IF(COUNTIFS('Vehicle Inputs'!$A$6:$A$205,$B$5,'Vehicle Inputs'!$I$6:$I$205,"&lt;&gt;")=0,"",INDEX('Vehicle Inputs'!$I$6:$I$205,MATCH($B$5,'Vehicle Inputs'!$A$6:$A$205,0))),"")</f>
        <v/>
      </c>
      <c r="C23" s="4" t="s">
        <v>337</v>
      </c>
      <c r="D23" s="11">
        <f>IFERROR(IF(COUNTIFS('Vehicle Inputs'!$A$6:$A$205,$D$5,'Vehicle Inputs'!$I$6:$I$205,"&lt;&gt;")=0,"",INDEX('Vehicle Inputs'!$I$6:$I$205,MATCH($D$5,'Vehicle Inputs'!$A$6:$A$205,0))),"")</f>
        <v/>
      </c>
      <c r="E23" s="11">
        <f>IF(AND(ISNUMBER(B23),ISNUMBER(D23)),D23-B23,"")</f>
        <v/>
      </c>
      <c r="F23" s="4" t="s">
        <v>338</v>
      </c>
    </row>
    <row r="24" spans="1:6" ht="35" customHeight="1">
      <c r="A24" s="13" t="s">
        <v>339</v>
      </c>
      <c r="B24" s="11">
        <f>IFERROR(IF(COUNTIFS('Vehicle Inputs'!$A$6:$A$205,$B$5,'Vehicle Inputs'!$J$6:$J$205,"&lt;&gt;")=0,"",INDEX('Vehicle Inputs'!$J$6:$J$205,MATCH($B$5,'Vehicle Inputs'!$A$6:$A$205,0))),"")</f>
        <v/>
      </c>
      <c r="C24" s="4" t="s">
        <v>337</v>
      </c>
      <c r="D24" s="11">
        <f>IFERROR(IF(COUNTIFS('Vehicle Inputs'!$A$6:$A$205,$D$5,'Vehicle Inputs'!$J$6:$J$205,"&lt;&gt;")=0,"",INDEX('Vehicle Inputs'!$J$6:$J$205,MATCH($D$5,'Vehicle Inputs'!$A$6:$A$205,0))),"")</f>
        <v/>
      </c>
      <c r="E24" s="11">
        <f>IF(AND(ISNUMBER(B24),ISNUMBER(D24)),D24-B24,"")</f>
        <v/>
      </c>
      <c r="F24" s="4" t="s">
        <v>338</v>
      </c>
    </row>
    <row r="25" spans="1:6" ht="35" customHeight="1">
      <c r="A25" s="13" t="s">
        <v>340</v>
      </c>
      <c r="B25" s="11">
        <f>IFERROR(IF(COUNTIFS('Vehicle Inputs'!$A$6:$A$205,$B$5,'Vehicle Inputs'!$K$6:$K$205,"&lt;&gt;")=0,"",INDEX('Vehicle Inputs'!$K$6:$K$205,MATCH($B$5,'Vehicle Inputs'!$A$6:$A$205,0))),"")</f>
        <v/>
      </c>
      <c r="C25" s="4" t="s">
        <v>341</v>
      </c>
      <c r="D25" s="11">
        <f>IFERROR(IF(COUNTIFS('Vehicle Inputs'!$A$6:$A$205,$D$5,'Vehicle Inputs'!$K$6:$K$205,"&lt;&gt;")=0,"",INDEX('Vehicle Inputs'!$K$6:$K$205,MATCH($D$5,'Vehicle Inputs'!$A$6:$A$205,0))),"")</f>
        <v/>
      </c>
      <c r="E25" s="11">
        <f>IF(AND(ISNUMBER(B25),ISNUMBER(D25)),D25-B25,"")</f>
        <v/>
      </c>
      <c r="F25" s="4" t="s">
        <v>342</v>
      </c>
    </row>
    <row r="26" spans="1:6" ht="35" customHeight="1">
      <c r="A26" s="13" t="s">
        <v>343</v>
      </c>
      <c r="B26" s="11">
        <f>IFERROR(IF(COUNTIFS('Vehicle Inputs'!$A$6:$A$205,$B$5,'Vehicle Inputs'!$L$6:$L$205,"&lt;&gt;")=0,"",INDEX('Vehicle Inputs'!$L$6:$L$205,MATCH($B$5,'Vehicle Inputs'!$A$6:$A$205,0))),"")</f>
        <v/>
      </c>
      <c r="C26" s="4" t="s">
        <v>341</v>
      </c>
      <c r="D26" s="11">
        <f>IFERROR(IF(COUNTIFS('Vehicle Inputs'!$A$6:$A$205,$D$5,'Vehicle Inputs'!$L$6:$L$205,"&lt;&gt;")=0,"",INDEX('Vehicle Inputs'!$L$6:$L$205,MATCH($D$5,'Vehicle Inputs'!$A$6:$A$205,0))),"")</f>
        <v/>
      </c>
      <c r="E26" s="11">
        <f>IF(AND(ISNUMBER(B26),ISNUMBER(D26)),D26-B26,"")</f>
        <v/>
      </c>
      <c r="F26" s="4" t="s">
        <v>344</v>
      </c>
    </row>
    <row r="27" spans="1:6" ht="35" customHeight="1">
      <c r="A27" s="13" t="s">
        <v>345</v>
      </c>
      <c r="B27" s="11">
        <f>IFERROR(IF(COUNTIFS('Vehicle Inputs'!$A$6:$A$205,$B$5,'Vehicle Inputs'!$M$6:$M$205,"&lt;&gt;")=0,"",INDEX('Vehicle Inputs'!$M$6:$M$205,MATCH($B$5,'Vehicle Inputs'!$A$6:$A$205,0))),"")</f>
        <v/>
      </c>
      <c r="C27" s="4" t="s">
        <v>337</v>
      </c>
      <c r="D27" s="11">
        <f>IFERROR(IF(COUNTIFS('Vehicle Inputs'!$A$6:$A$205,$D$5,'Vehicle Inputs'!$M$6:$M$205,"&lt;&gt;")=0,"",INDEX('Vehicle Inputs'!$M$6:$M$205,MATCH($D$5,'Vehicle Inputs'!$A$6:$A$205,0))),"")</f>
        <v/>
      </c>
      <c r="E27" s="11">
        <f>IF(AND(ISNUMBER(B27),ISNUMBER(D27)),D27-B27,"")</f>
        <v/>
      </c>
      <c r="F27" s="4" t="s">
        <v>346</v>
      </c>
    </row>
    <row r="28" spans="1:6" ht="35" customHeight="1">
      <c r="A28" s="13" t="s">
        <v>347</v>
      </c>
      <c r="B28" s="11">
        <f>IFERROR(IF(COUNTIFS('Vehicle Inputs'!$A$6:$A$205,$B$5,'Vehicle Inputs'!$N$6:$N$205,"&lt;&gt;")=0,"",INDEX('Vehicle Inputs'!$N$6:$N$205,MATCH($B$5,'Vehicle Inputs'!$A$6:$A$205,0))),"")</f>
        <v/>
      </c>
      <c r="C28" s="4" t="s">
        <v>337</v>
      </c>
      <c r="D28" s="11">
        <f>IFERROR(IF(COUNTIFS('Vehicle Inputs'!$A$6:$A$205,$D$5,'Vehicle Inputs'!$N$6:$N$205,"&lt;&gt;")=0,"",INDEX('Vehicle Inputs'!$N$6:$N$205,MATCH($D$5,'Vehicle Inputs'!$A$6:$A$205,0))),"")</f>
        <v/>
      </c>
      <c r="E28" s="11">
        <f>IF(AND(ISNUMBER(B28),ISNUMBER(D28)),D28-B28,"")</f>
        <v/>
      </c>
      <c r="F28" s="4" t="s">
        <v>346</v>
      </c>
    </row>
    <row r="29" spans="1:6" ht="35" customHeight="1">
      <c r="A29" s="13" t="s">
        <v>348</v>
      </c>
      <c r="B29" s="11">
        <f>IFERROR(IF(COUNTIFS('Vehicle Inputs'!$A$6:$A$205,$B$5,'Vehicle Inputs'!$O$6:$O$205,"&lt;&gt;")=0,"",INDEX('Vehicle Inputs'!$O$6:$O$205,MATCH($B$5,'Vehicle Inputs'!$A$6:$A$205,0))),"")</f>
        <v/>
      </c>
      <c r="C29" s="4" t="s">
        <v>349</v>
      </c>
      <c r="D29" s="11">
        <f>IFERROR(IF(COUNTIFS('Vehicle Inputs'!$A$6:$A$205,$D$5,'Vehicle Inputs'!$O$6:$O$205,"&lt;&gt;")=0,"",INDEX('Vehicle Inputs'!$O$6:$O$205,MATCH($D$5,'Vehicle Inputs'!$A$6:$A$205,0))),"")</f>
        <v/>
      </c>
      <c r="E29" s="11">
        <f>IF(AND(ISNUMBER(B29),ISNUMBER(D29)),D29-B29,"")</f>
        <v/>
      </c>
      <c r="F29" s="4" t="s">
        <v>350</v>
      </c>
    </row>
    <row r="30" spans="1:6" ht="35" customHeight="1">
      <c r="A30" s="13" t="s">
        <v>351</v>
      </c>
      <c r="B30" s="11">
        <f>IFERROR(IF(COUNTIFS('Vehicle Inputs'!$A$6:$A$205,$B$5,'Vehicle Inputs'!$P$6:$P$205,"&lt;&gt;")=0,"",INDEX('Vehicle Inputs'!$P$6:$P$205,MATCH($B$5,'Vehicle Inputs'!$A$6:$A$205,0))),"")</f>
        <v/>
      </c>
      <c r="C30" s="4" t="s">
        <v>349</v>
      </c>
      <c r="D30" s="11">
        <f>IFERROR(IF(COUNTIFS('Vehicle Inputs'!$A$6:$A$205,$D$5,'Vehicle Inputs'!$P$6:$P$205,"&lt;&gt;")=0,"",INDEX('Vehicle Inputs'!$P$6:$P$205,MATCH($D$5,'Vehicle Inputs'!$A$6:$A$205,0))),"")</f>
        <v/>
      </c>
      <c r="E30" s="11">
        <f>IF(AND(ISNUMBER(B30),ISNUMBER(D30)),D30-B30,"")</f>
        <v/>
      </c>
      <c r="F30" s="4" t="s">
        <v>350</v>
      </c>
    </row>
    <row r="31" spans="1:6" ht="24" customHeight="1">
      <c r="A31" s="3" t="s">
        <v>352</v>
      </c>
      <c r="B31" s="3"/>
      <c r="C31" s="3"/>
      <c r="D31" s="3"/>
      <c r="E31" s="3"/>
      <c r="F31" s="3"/>
    </row>
    <row r="32" spans="1:6" ht="35" customHeight="1">
      <c r="A32" s="13" t="s">
        <v>353</v>
      </c>
      <c r="B32" s="11">
        <f>IFERROR(IF(COUNTIFS('Road and Solver'!$A$6:$A$205,$B$5,'Road and Solver'!$B$6:$B$205,"&lt;&gt;")=0,"",INDEX('Road and Solver'!$B$6:$B$205,MATCH($B$5,'Road and Solver'!$A$6:$A$205,0))),"")</f>
        <v/>
      </c>
      <c r="C32" s="4" t="s">
        <v>354</v>
      </c>
      <c r="D32" s="11">
        <f>IFERROR(IF(COUNTIFS('Road and Solver'!$A$6:$A$205,$D$5,'Road and Solver'!$B$6:$B$205,"&lt;&gt;")=0,"",INDEX('Road and Solver'!$B$6:$B$205,MATCH($D$5,'Road and Solver'!$A$6:$A$205,0))),"")</f>
        <v/>
      </c>
      <c r="E32" s="11">
        <f>IF(AND(ISNUMBER(B32),ISNUMBER(D32)),D32-B32,"")</f>
        <v/>
      </c>
      <c r="F32" s="4" t="s">
        <v>355</v>
      </c>
    </row>
    <row r="33" spans="1:13" ht="35" customHeight="1">
      <c r="A33" s="13" t="s">
        <v>247</v>
      </c>
      <c r="B33" s="11">
        <f>IFERROR(IF(COUNTIFS('Road and Solver'!$A$6:$A$205,$B$5,'Road and Solver'!$C$6:$C$205,"&lt;&gt;")=0,"",INDEX('Road and Solver'!$C$6:$C$205,MATCH($B$5,'Road and Solver'!$A$6:$A$205,0))),"")</f>
        <v/>
      </c>
      <c r="C33" s="4"/>
      <c r="D33" s="11">
        <f>IFERROR(IF(COUNTIFS('Road and Solver'!$A$6:$A$205,$D$5,'Road and Solver'!$C$6:$C$205,"&lt;&gt;")=0,"",INDEX('Road and Solver'!$C$6:$C$205,MATCH($D$5,'Road and Solver'!$A$6:$A$205,0))),"")</f>
        <v/>
      </c>
      <c r="E33" s="11">
        <f>IF(AND(ISNUMBER(B33),ISNUMBER(D33)),D33-B33,"")</f>
        <v/>
      </c>
      <c r="F33" s="4" t="s">
        <v>356</v>
      </c>
    </row>
    <row r="34" spans="1:13" ht="35" customHeight="1">
      <c r="A34" s="13" t="s">
        <v>357</v>
      </c>
      <c r="B34" s="11">
        <f>IFERROR(IF(COUNTIFS('Road and Solver'!$A$6:$A$205,$B$5,'Road and Solver'!$D$6:$D$205,"&lt;&gt;")=0,"",INDEX('Road and Solver'!$D$6:$D$205,MATCH($B$5,'Road and Solver'!$A$6:$A$205,0))),"")</f>
        <v/>
      </c>
      <c r="C34" s="4" t="s">
        <v>358</v>
      </c>
      <c r="D34" s="11">
        <f>IFERROR(IF(COUNTIFS('Road and Solver'!$A$6:$A$205,$D$5,'Road and Solver'!$D$6:$D$205,"&lt;&gt;")=0,"",INDEX('Road and Solver'!$D$6:$D$205,MATCH($D$5,'Road and Solver'!$A$6:$A$205,0))),"")</f>
        <v/>
      </c>
      <c r="E34" s="11">
        <f>IF(AND(ISNUMBER(B34),ISNUMBER(D34)),D34-B34,"")</f>
        <v/>
      </c>
      <c r="F34" s="4" t="s">
        <v>359</v>
      </c>
    </row>
    <row r="35" spans="1:13" ht="35" customHeight="1">
      <c r="A35" s="13" t="s">
        <v>360</v>
      </c>
      <c r="B35" s="11">
        <f>IFERROR(IF(COUNTIFS('Road and Solver'!$A$6:$A$205,$B$5,'Road and Solver'!$Q$6:$Q$205,"&lt;&gt;")=0,"",INDEX('Road and Solver'!$Q$6:$Q$205,MATCH($B$5,'Road and Solver'!$A$6:$A$205,0))),"")</f>
        <v/>
      </c>
      <c r="C35" s="4"/>
      <c r="D35" s="11">
        <f>IFERROR(IF(COUNTIFS('Road and Solver'!$A$6:$A$205,$D$5,'Road and Solver'!$Q$6:$Q$205,"&lt;&gt;")=0,"",INDEX('Road and Solver'!$Q$6:$Q$205,MATCH($D$5,'Road and Solver'!$A$6:$A$205,0))),"")</f>
        <v/>
      </c>
      <c r="E35" s="11">
        <f>IF(AND(ISNUMBER(B35),ISNUMBER(D35)),D35-B35,"")</f>
        <v/>
      </c>
      <c r="F35" s="4" t="s">
        <v>361</v>
      </c>
    </row>
    <row r="36" spans="1:13" ht="35" customHeight="1">
      <c r="A36" s="13" t="s">
        <v>362</v>
      </c>
      <c r="B36" s="11">
        <f>IFERROR(IF(COUNTIFS('Road and Solver'!$A$6:$A$205,$B$5,'Road and Solver'!$E$6:$E$205,"&lt;&gt;")=0,"",INDEX('Road and Solver'!$E$6:$E$205,MATCH($B$5,'Road and Solver'!$A$6:$A$205,0))),"")</f>
        <v/>
      </c>
      <c r="C36" s="4" t="s">
        <v>363</v>
      </c>
      <c r="D36" s="11">
        <f>IFERROR(IF(COUNTIFS('Road and Solver'!$A$6:$A$205,$D$5,'Road and Solver'!$E$6:$E$205,"&lt;&gt;")=0,"",INDEX('Road and Solver'!$E$6:$E$205,MATCH($D$5,'Road and Solver'!$A$6:$A$205,0))),"")</f>
        <v/>
      </c>
      <c r="E36" s="11">
        <f>IF(AND(ISNUMBER(B36),ISNUMBER(D36)),D36-B36,"")</f>
        <v/>
      </c>
      <c r="F36" s="4" t="s">
        <v>364</v>
      </c>
    </row>
    <row r="37" spans="1:13" ht="35" customHeight="1">
      <c r="A37" s="13" t="s">
        <v>365</v>
      </c>
      <c r="B37" s="11">
        <f>IFERROR(IF(COUNTIFS('Road and Solver'!$A$6:$A$205,$B$5,'Road and Solver'!$F$6:$F$205,"&lt;&gt;")=0,"",INDEX('Road and Solver'!$F$6:$F$205,MATCH($B$5,'Road and Solver'!$A$6:$A$205,0))),"")</f>
        <v/>
      </c>
      <c r="C37" s="4" t="s">
        <v>363</v>
      </c>
      <c r="D37" s="11">
        <f>IFERROR(IF(COUNTIFS('Road and Solver'!$A$6:$A$205,$D$5,'Road and Solver'!$F$6:$F$205,"&lt;&gt;")=0,"",INDEX('Road and Solver'!$F$6:$F$205,MATCH($D$5,'Road and Solver'!$A$6:$A$205,0))),"")</f>
        <v/>
      </c>
      <c r="E37" s="11">
        <f>IF(AND(ISNUMBER(B37),ISNUMBER(D37)),D37-B37,"")</f>
        <v/>
      </c>
      <c r="F37" s="4" t="s">
        <v>366</v>
      </c>
    </row>
    <row r="38" spans="1:13" ht="35" customHeight="1">
      <c r="A38" s="13" t="s">
        <v>367</v>
      </c>
      <c r="B38" s="11">
        <f>IFERROR(IF(COUNTIFS('Road and Solver'!$A$6:$A$205,$B$5,'Road and Solver'!$H$6:$H$205,"&lt;&gt;")=0,"",INDEX('Road and Solver'!$H$6:$H$205,MATCH($B$5,'Road and Solver'!$A$6:$A$205,0))),"")</f>
        <v/>
      </c>
      <c r="C38" s="4" t="s">
        <v>363</v>
      </c>
      <c r="D38" s="11">
        <f>IFERROR(IF(COUNTIFS('Road and Solver'!$A$6:$A$205,$D$5,'Road and Solver'!$H$6:$H$205,"&lt;&gt;")=0,"",INDEX('Road and Solver'!$H$6:$H$205,MATCH($D$5,'Road and Solver'!$A$6:$A$205,0))),"")</f>
        <v/>
      </c>
      <c r="E38" s="11">
        <f>IF(AND(ISNUMBER(B38),ISNUMBER(D38)),D38-B38,"")</f>
        <v/>
      </c>
      <c r="F38" s="4" t="s">
        <v>368</v>
      </c>
    </row>
    <row r="39" spans="1:13" ht="35" customHeight="1">
      <c r="A39" s="13" t="s">
        <v>369</v>
      </c>
      <c r="B39" s="11">
        <f>IFERROR(IF(COUNTIFS('Road and Solver'!$A$6:$A$205,$B$5,'Road and Solver'!$I$6:$I$205,"&lt;&gt;")=0,"",INDEX('Road and Solver'!$I$6:$I$205,MATCH($B$5,'Road and Solver'!$A$6:$A$205,0))),"")</f>
        <v/>
      </c>
      <c r="C39" s="4" t="s">
        <v>363</v>
      </c>
      <c r="D39" s="11">
        <f>IFERROR(IF(COUNTIFS('Road and Solver'!$A$6:$A$205,$D$5,'Road and Solver'!$I$6:$I$205,"&lt;&gt;")=0,"",INDEX('Road and Solver'!$I$6:$I$205,MATCH($D$5,'Road and Solver'!$A$6:$A$205,0))),"")</f>
        <v/>
      </c>
      <c r="E39" s="11">
        <f>IF(AND(ISNUMBER(B39),ISNUMBER(D39)),D39-B39,"")</f>
        <v/>
      </c>
      <c r="F39" s="4" t="s">
        <v>370</v>
      </c>
    </row>
    <row r="40" spans="1:13" ht="35" customHeight="1">
      <c r="A40" s="13" t="s">
        <v>371</v>
      </c>
      <c r="B40" s="11">
        <f>IFERROR(IF(COUNTIFS('Road and Solver'!$A$6:$A$205,$B$5,'Road and Solver'!$K$6:$K$205,"&lt;&gt;")=0,"",INDEX('Road and Solver'!$K$6:$K$205,MATCH($B$5,'Road and Solver'!$A$6:$A$205,0))),"")</f>
        <v/>
      </c>
      <c r="C40" s="4" t="s">
        <v>372</v>
      </c>
      <c r="D40" s="11">
        <f>IFERROR(IF(COUNTIFS('Road and Solver'!$A$6:$A$205,$D$5,'Road and Solver'!$K$6:$K$205,"&lt;&gt;")=0,"",INDEX('Road and Solver'!$K$6:$K$205,MATCH($D$5,'Road and Solver'!$A$6:$A$205,0))),"")</f>
        <v/>
      </c>
      <c r="E40" s="11">
        <f>IF(AND(ISNUMBER(B40),ISNUMBER(D40)),D40-B40,"")</f>
        <v/>
      </c>
      <c r="F40" s="4" t="s">
        <v>373</v>
      </c>
    </row>
    <row r="41" spans="1:13" ht="35" customHeight="1">
      <c r="A41" s="13" t="s">
        <v>374</v>
      </c>
      <c r="B41" s="11">
        <f>IFERROR(IF(COUNTIFS('Road and Solver'!$A$6:$A$205,$B$5,'Road and Solver'!$L$6:$L$205,"&lt;&gt;")=0,"",INDEX('Road and Solver'!$L$6:$L$205,MATCH($B$5,'Road and Solver'!$A$6:$A$205,0))),"")</f>
        <v/>
      </c>
      <c r="C41" s="4" t="s">
        <v>375</v>
      </c>
      <c r="D41" s="11">
        <f>IFERROR(IF(COUNTIFS('Road and Solver'!$A$6:$A$205,$D$5,'Road and Solver'!$L$6:$L$205,"&lt;&gt;")=0,"",INDEX('Road and Solver'!$L$6:$L$205,MATCH($D$5,'Road and Solver'!$A$6:$A$205,0))),"")</f>
        <v/>
      </c>
      <c r="E41" s="11">
        <f>IF(AND(ISNUMBER(B41),ISNUMBER(D41)),D41-B41,"")</f>
        <v/>
      </c>
      <c r="F41" s="4" t="s">
        <v>376</v>
      </c>
    </row>
    <row r="42" spans="1:13" ht="35" customHeight="1">
      <c r="A42" s="13" t="s">
        <v>377</v>
      </c>
      <c r="B42" s="11">
        <f>IFERROR(IF(COUNTIFS('Road and Solver'!$A$6:$A$205,$B$5,'Road and Solver'!$M$6:$M$205,"&lt;&gt;")=0,"",INDEX('Road and Solver'!$M$6:$M$205,MATCH($B$5,'Road and Solver'!$A$6:$A$205,0))),"")</f>
        <v/>
      </c>
      <c r="C42" s="4" t="s">
        <v>333</v>
      </c>
      <c r="D42" s="11">
        <f>IFERROR(IF(COUNTIFS('Road and Solver'!$A$6:$A$205,$D$5,'Road and Solver'!$M$6:$M$205,"&lt;&gt;")=0,"",INDEX('Road and Solver'!$M$6:$M$205,MATCH($D$5,'Road and Solver'!$A$6:$A$205,0))),"")</f>
        <v/>
      </c>
      <c r="E42" s="11">
        <f>IF(AND(ISNUMBER(B42),ISNUMBER(D42)),D42-B42,"")</f>
        <v/>
      </c>
      <c r="F42" s="4" t="s">
        <v>378</v>
      </c>
    </row>
    <row r="43" spans="1:13" ht="35" customHeight="1">
      <c r="A43" s="13" t="s">
        <v>379</v>
      </c>
      <c r="B43" s="11">
        <f>IFERROR(IF(COUNTIFS('Road and Solver'!$A$6:$A$205,$B$5,'Road and Solver'!$N$6:$N$205,"&lt;&gt;")=0,"",INDEX('Road and Solver'!$N$6:$N$205,MATCH($B$5,'Road and Solver'!$A$6:$A$205,0))),"")</f>
        <v/>
      </c>
      <c r="C43" s="4" t="s">
        <v>333</v>
      </c>
      <c r="D43" s="11">
        <f>IFERROR(IF(COUNTIFS('Road and Solver'!$A$6:$A$205,$D$5,'Road and Solver'!$N$6:$N$205,"&lt;&gt;")=0,"",INDEX('Road and Solver'!$N$6:$N$205,MATCH($D$5,'Road and Solver'!$A$6:$A$205,0))),"")</f>
        <v/>
      </c>
      <c r="E43" s="11">
        <f>IF(AND(ISNUMBER(B43),ISNUMBER(D43)),D43-B43,"")</f>
        <v/>
      </c>
      <c r="F43" s="4" t="s">
        <v>380</v>
      </c>
    </row>
    <row r="44" spans="1:13" ht="35" customHeight="1">
      <c r="A44" s="13" t="s">
        <v>381</v>
      </c>
      <c r="B44" s="11">
        <f>IFERROR(IF(COUNTIFS('Road and Solver'!$A$6:$A$205,$B$5,'Road and Solver'!$O$6:$O$205,"&lt;&gt;")=0,"",INDEX('Road and Solver'!$O$6:$O$205,MATCH($B$5,'Road and Solver'!$A$6:$A$205,0))),"")</f>
        <v/>
      </c>
      <c r="C44" s="4" t="s">
        <v>333</v>
      </c>
      <c r="D44" s="11">
        <f>IFERROR(IF(COUNTIFS('Road and Solver'!$A$6:$A$205,$D$5,'Road and Solver'!$O$6:$O$205,"&lt;&gt;")=0,"",INDEX('Road and Solver'!$O$6:$O$205,MATCH($D$5,'Road and Solver'!$A$6:$A$205,0))),"")</f>
        <v/>
      </c>
      <c r="E44" s="11">
        <f>IF(AND(ISNUMBER(B44),ISNUMBER(D44)),D44-B44,"")</f>
        <v/>
      </c>
      <c r="F44" s="4" t="s">
        <v>382</v>
      </c>
    </row>
    <row r="45" spans="1:13" ht="35" customHeight="1">
      <c r="A45" s="13" t="s">
        <v>383</v>
      </c>
      <c r="B45" s="11">
        <f>IFERROR(IF(COUNTIFS('Road and Solver'!$A$6:$A$205,$B$5,'Road and Solver'!$P$6:$P$205,"&lt;&gt;")=0,"",INDEX('Road and Solver'!$P$6:$P$205,MATCH($B$5,'Road and Solver'!$A$6:$A$205,0))),"")</f>
        <v/>
      </c>
      <c r="C45" s="4" t="s">
        <v>333</v>
      </c>
      <c r="D45" s="11">
        <f>IFERROR(IF(COUNTIFS('Road and Solver'!$A$6:$A$205,$D$5,'Road and Solver'!$P$6:$P$205,"&lt;&gt;")=0,"",INDEX('Road and Solver'!$P$6:$P$205,MATCH($D$5,'Road and Solver'!$A$6:$A$205,0))),"")</f>
        <v/>
      </c>
      <c r="E45" s="11">
        <f>IF(AND(ISNUMBER(B45),ISNUMBER(D45)),D45-B45,"")</f>
        <v/>
      </c>
      <c r="F45" s="4" t="s">
        <v>384</v>
      </c>
      <c r="H45" s="3" t="s">
        <v>423</v>
      </c>
      <c r="I45" s="3"/>
      <c r="J45" s="3"/>
      <c r="K45" s="3"/>
      <c r="L45" s="3"/>
      <c r="M45" s="3"/>
    </row>
    <row r="46" spans="1:13" ht="35" customHeight="1">
      <c r="A46" s="13" t="s">
        <v>262</v>
      </c>
      <c r="B46" s="11">
        <f>IFERROR(IF(COUNTIFS('Road and Solver'!$A$6:$A$205,$B$5,'Road and Solver'!$R$6:$R$205,"&lt;&gt;")=0,"",INDEX('Road and Solver'!$R$6:$R$205,MATCH($B$5,'Road and Solver'!$A$6:$A$205,0))),"")</f>
        <v/>
      </c>
      <c r="C46" s="4" t="s">
        <v>385</v>
      </c>
      <c r="D46" s="11">
        <f>IFERROR(IF(COUNTIFS('Road and Solver'!$A$6:$A$205,$D$5,'Road and Solver'!$R$6:$R$205,"&lt;&gt;")=0,"",INDEX('Road and Solver'!$R$6:$R$205,MATCH($D$5,'Road and Solver'!$A$6:$A$205,0))),"")</f>
        <v/>
      </c>
      <c r="E46" s="11">
        <f>IF(AND(ISNUMBER(B46),ISNUMBER(D46)),D46-B46,"")</f>
        <v/>
      </c>
      <c r="F46" s="4" t="s">
        <v>386</v>
      </c>
      <c r="H46" s="3"/>
      <c r="I46" s="3"/>
      <c r="J46" s="3"/>
      <c r="K46" s="3"/>
      <c r="L46" s="3"/>
      <c r="M46" s="3"/>
    </row>
    <row r="47" spans="1:13" ht="35" customHeight="1">
      <c r="A47" s="13" t="s">
        <v>387</v>
      </c>
      <c r="B47" s="11">
        <f>IFERROR(IF(COUNTIFS('Road and Solver'!$A$6:$A$205,$B$5,'Road and Solver'!$S$6:$S$205,"&lt;&gt;")=0,"",INDEX('Road and Solver'!$S$6:$S$205,MATCH($B$5,'Road and Solver'!$A$6:$A$205,0))),"")</f>
        <v/>
      </c>
      <c r="C47" s="4" t="s">
        <v>388</v>
      </c>
      <c r="D47" s="11">
        <f>IFERROR(IF(COUNTIFS('Road and Solver'!$A$6:$A$205,$D$5,'Road and Solver'!$S$6:$S$205,"&lt;&gt;")=0,"",INDEX('Road and Solver'!$S$6:$S$205,MATCH($D$5,'Road and Solver'!$A$6:$A$205,0))),"")</f>
        <v/>
      </c>
      <c r="E47" s="11">
        <f>IF(AND(ISNUMBER(B47),ISNUMBER(D47)),D47-B47,"")</f>
        <v/>
      </c>
      <c r="F47" s="4" t="s">
        <v>389</v>
      </c>
    </row>
    <row r="48" spans="1:13" ht="24" customHeight="1">
      <c r="A48" s="3" t="s">
        <v>390</v>
      </c>
      <c r="B48" s="3"/>
      <c r="C48" s="3"/>
      <c r="D48" s="3"/>
      <c r="E48" s="3"/>
      <c r="F48" s="3"/>
      <c r="H48" s="13" t="s">
        <v>424</v>
      </c>
      <c r="I48" s="13"/>
      <c r="J48" s="13"/>
      <c r="K48" s="6">
        <f>IF(IFERROR(IF(COUNTIFS('Run Index'!$A$6:$A$205,$B$5,'Run Index'!$M$6:$M$205,"&lt;&gt;")=0,"",INDEX('Run Index'!$M$6:$M$205,MATCH($B$5,'Run Index'!$A$6:$A$205,0))),"")="","No graph path entered",HYPERLINK(IFERROR(IF(COUNTIFS('Run Index'!$A$6:$A$205,$B$5,'Run Index'!$M$6:$M$205,"&lt;&gt;")=0,"",INDEX('Run Index'!$M$6:$M$205,MATCH($B$5,'Run Index'!$A$6:$A$205,0))),""),"Open dashboard"))</f>
        <v>0</v>
      </c>
      <c r="L48" s="6"/>
      <c r="M48" s="6"/>
    </row>
    <row r="49" spans="1:13" ht="35" customHeight="1">
      <c r="A49" s="13" t="s">
        <v>391</v>
      </c>
      <c r="B49" s="11">
        <f>IFERROR(IF(COUNTIFS('Outputs'!$A$6:$A$205,$B$5,'Outputs'!$O$6:$O$205,"&lt;&gt;")=0,"",INDEX('Outputs'!$O$6:$O$205,MATCH($B$5,'Outputs'!$A$6:$A$205,0))),"")</f>
        <v/>
      </c>
      <c r="C49" s="4" t="s">
        <v>392</v>
      </c>
      <c r="D49" s="11">
        <f>IFERROR(IF(COUNTIFS('Outputs'!$A$6:$A$205,$D$5,'Outputs'!$O$6:$O$205,"&lt;&gt;")=0,"",INDEX('Outputs'!$O$6:$O$205,MATCH($D$5,'Outputs'!$A$6:$A$205,0))),"")</f>
        <v/>
      </c>
      <c r="E49" s="11">
        <f>IF(AND(ISNUMBER(B49),ISNUMBER(D49)),D49-B49,"")</f>
        <v/>
      </c>
      <c r="F49" s="4" t="s">
        <v>393</v>
      </c>
    </row>
    <row r="50" spans="1:13" ht="35" customHeight="1">
      <c r="A50" s="13" t="s">
        <v>394</v>
      </c>
      <c r="B50" s="11">
        <f>IFERROR(IF(COUNTIFS('Outputs'!$A$6:$A$205,$B$5,'Outputs'!$P$6:$P$205,"&lt;&gt;")=0,"",INDEX('Outputs'!$P$6:$P$205,MATCH($B$5,'Outputs'!$A$6:$A$205,0))),"")</f>
        <v/>
      </c>
      <c r="C50" s="4" t="s">
        <v>395</v>
      </c>
      <c r="D50" s="11">
        <f>IFERROR(IF(COUNTIFS('Outputs'!$A$6:$A$205,$D$5,'Outputs'!$P$6:$P$205,"&lt;&gt;")=0,"",INDEX('Outputs'!$P$6:$P$205,MATCH($D$5,'Outputs'!$A$6:$A$205,0))),"")</f>
        <v/>
      </c>
      <c r="E50" s="11">
        <f>IF(AND(ISNUMBER(B50),ISNUMBER(D50)),D50-B50,"")</f>
        <v/>
      </c>
      <c r="F50" s="4" t="s">
        <v>396</v>
      </c>
      <c r="H50" s="13" t="s">
        <v>425</v>
      </c>
      <c r="I50" s="13"/>
      <c r="J50" s="13"/>
      <c r="K50" s="6">
        <f>IF(IFERROR(IF(COUNTIFS('Run Index'!$A$6:$A$205,$D$5,'Run Index'!$M$6:$M$205,"&lt;&gt;")=0,"",INDEX('Run Index'!$M$6:$M$205,MATCH($D$5,'Run Index'!$A$6:$A$205,0))),"")="","No graph path entered",HYPERLINK(IFERROR(IF(COUNTIFS('Run Index'!$A$6:$A$205,$D$5,'Run Index'!$M$6:$M$205,"&lt;&gt;")=0,"",INDEX('Run Index'!$M$6:$M$205,MATCH($D$5,'Run Index'!$A$6:$A$205,0))),""),"Open dashboard"))</f>
        <v>0</v>
      </c>
      <c r="L50" s="6"/>
      <c r="M50" s="6"/>
    </row>
    <row r="51" spans="1:13" ht="35" customHeight="1">
      <c r="A51" s="13" t="s">
        <v>397</v>
      </c>
      <c r="B51" s="11">
        <f>IFERROR(IF(COUNTIFS('Outputs'!$A$6:$A$205,$B$5,'Outputs'!$D$6:$D$205,"&lt;&gt;")=0,"",INDEX('Outputs'!$D$6:$D$205,MATCH($B$5,'Outputs'!$A$6:$A$205,0))),"")</f>
        <v/>
      </c>
      <c r="C51" s="4" t="s">
        <v>398</v>
      </c>
      <c r="D51" s="11">
        <f>IFERROR(IF(COUNTIFS('Outputs'!$A$6:$A$205,$D$5,'Outputs'!$D$6:$D$205,"&lt;&gt;")=0,"",INDEX('Outputs'!$D$6:$D$205,MATCH($D$5,'Outputs'!$A$6:$A$205,0))),"")</f>
        <v/>
      </c>
      <c r="E51" s="11">
        <f>IF(AND(ISNUMBER(B51),ISNUMBER(D51)),D51-B51,"")</f>
        <v/>
      </c>
      <c r="F51" s="4" t="s">
        <v>399</v>
      </c>
    </row>
    <row r="52" spans="1:13" ht="35" customHeight="1">
      <c r="A52" s="13" t="s">
        <v>400</v>
      </c>
      <c r="B52" s="11">
        <f>IFERROR(IF(COUNTIFS('Outputs'!$A$6:$A$205,$B$5,'Outputs'!$I$6:$I$205,"&lt;&gt;")=0,"",INDEX('Outputs'!$I$6:$I$205,MATCH($B$5,'Outputs'!$A$6:$A$205,0))),"")</f>
        <v/>
      </c>
      <c r="C52" s="4" t="s">
        <v>398</v>
      </c>
      <c r="D52" s="11">
        <f>IFERROR(IF(COUNTIFS('Outputs'!$A$6:$A$205,$D$5,'Outputs'!$I$6:$I$205,"&lt;&gt;")=0,"",INDEX('Outputs'!$I$6:$I$205,MATCH($D$5,'Outputs'!$A$6:$A$205,0))),"")</f>
        <v/>
      </c>
      <c r="E52" s="11">
        <f>IF(AND(ISNUMBER(B52),ISNUMBER(D52)),D52-B52,"")</f>
        <v/>
      </c>
      <c r="F52" s="4" t="s">
        <v>401</v>
      </c>
    </row>
    <row r="53" spans="1:13" ht="35" customHeight="1">
      <c r="A53" s="13" t="s">
        <v>402</v>
      </c>
      <c r="B53" s="11">
        <f>IFERROR(IF(COUNTIFS('Outputs'!$A$6:$A$205,$B$5,'Outputs'!$Q$6:$Q$205,"&lt;&gt;")=0,"",INDEX('Outputs'!$Q$6:$Q$205,MATCH($B$5,'Outputs'!$A$6:$A$205,0))),"")</f>
        <v/>
      </c>
      <c r="C53" s="4" t="s">
        <v>392</v>
      </c>
      <c r="D53" s="11">
        <f>IFERROR(IF(COUNTIFS('Outputs'!$A$6:$A$205,$D$5,'Outputs'!$Q$6:$Q$205,"&lt;&gt;")=0,"",INDEX('Outputs'!$Q$6:$Q$205,MATCH($D$5,'Outputs'!$A$6:$A$205,0))),"")</f>
        <v/>
      </c>
      <c r="E53" s="11">
        <f>IF(AND(ISNUMBER(B53),ISNUMBER(D53)),D53-B53,"")</f>
        <v/>
      </c>
      <c r="F53" s="4" t="s">
        <v>403</v>
      </c>
      <c r="H53" s="4" t="s">
        <v>426</v>
      </c>
      <c r="I53" s="4"/>
      <c r="J53" s="4"/>
      <c r="K53" s="4"/>
      <c r="L53" s="4"/>
      <c r="M53" s="4"/>
    </row>
    <row r="54" spans="1:13" ht="35" customHeight="1">
      <c r="A54" s="13" t="s">
        <v>404</v>
      </c>
      <c r="B54" s="11">
        <f>IFERROR(IF(COUNTIFS('Outputs'!$A$6:$A$205,$B$5,'Outputs'!$R$6:$R$205,"&lt;&gt;")=0,"",INDEX('Outputs'!$R$6:$R$205,MATCH($B$5,'Outputs'!$A$6:$A$205,0))),"")</f>
        <v/>
      </c>
      <c r="C54" s="4" t="s">
        <v>392</v>
      </c>
      <c r="D54" s="11">
        <f>IFERROR(IF(COUNTIFS('Outputs'!$A$6:$A$205,$D$5,'Outputs'!$R$6:$R$205,"&lt;&gt;")=0,"",INDEX('Outputs'!$R$6:$R$205,MATCH($D$5,'Outputs'!$A$6:$A$205,0))),"")</f>
        <v/>
      </c>
      <c r="E54" s="11">
        <f>IF(AND(ISNUMBER(B54),ISNUMBER(D54)),D54-B54,"")</f>
        <v/>
      </c>
      <c r="F54" s="4" t="s">
        <v>405</v>
      </c>
      <c r="H54" s="4"/>
      <c r="I54" s="4"/>
      <c r="J54" s="4"/>
      <c r="K54" s="4"/>
      <c r="L54" s="4"/>
      <c r="M54" s="4"/>
    </row>
    <row r="55" spans="1:13" ht="35" customHeight="1">
      <c r="A55" s="13" t="s">
        <v>406</v>
      </c>
      <c r="B55" s="11">
        <f>IFERROR(IF(COUNTIFS('Outputs'!$A$6:$A$205,$B$5,'Outputs'!$G$6:$G$205,"&lt;&gt;")=0,"",INDEX('Outputs'!$G$6:$G$205,MATCH($B$5,'Outputs'!$A$6:$A$205,0))),"")</f>
        <v/>
      </c>
      <c r="C55" s="4" t="s">
        <v>407</v>
      </c>
      <c r="D55" s="11">
        <f>IFERROR(IF(COUNTIFS('Outputs'!$A$6:$A$205,$D$5,'Outputs'!$G$6:$G$205,"&lt;&gt;")=0,"",INDEX('Outputs'!$G$6:$G$205,MATCH($D$5,'Outputs'!$A$6:$A$205,0))),"")</f>
        <v/>
      </c>
      <c r="E55" s="11">
        <f>IF(AND(ISNUMBER(B55),ISNUMBER(D55)),D55-B55,"")</f>
        <v/>
      </c>
      <c r="F55" s="4" t="s">
        <v>408</v>
      </c>
      <c r="H55" s="4"/>
      <c r="I55" s="4"/>
      <c r="J55" s="4"/>
      <c r="K55" s="4"/>
      <c r="L55" s="4"/>
      <c r="M55" s="4"/>
    </row>
    <row r="56" spans="1:13" ht="35" customHeight="1">
      <c r="A56" s="13" t="s">
        <v>409</v>
      </c>
      <c r="B56" s="11">
        <f>IFERROR(IF(COUNTIFS('Outputs'!$A$6:$A$205,$B$5,'Outputs'!$H$6:$H$205,"&lt;&gt;")=0,"",INDEX('Outputs'!$H$6:$H$205,MATCH($B$5,'Outputs'!$A$6:$A$205,0))),"")</f>
        <v/>
      </c>
      <c r="C56" s="4" t="s">
        <v>407</v>
      </c>
      <c r="D56" s="11">
        <f>IFERROR(IF(COUNTIFS('Outputs'!$A$6:$A$205,$D$5,'Outputs'!$H$6:$H$205,"&lt;&gt;")=0,"",INDEX('Outputs'!$H$6:$H$205,MATCH($D$5,'Outputs'!$A$6:$A$205,0))),"")</f>
        <v/>
      </c>
      <c r="E56" s="11">
        <f>IF(AND(ISNUMBER(B56),ISNUMBER(D56)),D56-B56,"")</f>
        <v/>
      </c>
      <c r="F56" s="4" t="s">
        <v>410</v>
      </c>
      <c r="H56" s="4"/>
      <c r="I56" s="4"/>
      <c r="J56" s="4"/>
      <c r="K56" s="4"/>
      <c r="L56" s="4"/>
      <c r="M56" s="4"/>
    </row>
    <row r="57" spans="1:13" ht="35" customHeight="1">
      <c r="A57" s="13" t="s">
        <v>411</v>
      </c>
      <c r="B57" s="11">
        <f>IFERROR(IF(COUNTIFS('Outputs'!$A$6:$A$205,$B$5,'Outputs'!$J$6:$J$205,"&lt;&gt;")=0,"",INDEX('Outputs'!$J$6:$J$205,MATCH($B$5,'Outputs'!$A$6:$A$205,0))),"")</f>
        <v/>
      </c>
      <c r="C57" s="4"/>
      <c r="D57" s="11">
        <f>IFERROR(IF(COUNTIFS('Outputs'!$A$6:$A$205,$D$5,'Outputs'!$J$6:$J$205,"&lt;&gt;")=0,"",INDEX('Outputs'!$J$6:$J$205,MATCH($D$5,'Outputs'!$A$6:$A$205,0))),"")</f>
        <v/>
      </c>
      <c r="E57" s="11">
        <f>IF(AND(ISNUMBER(B57),ISNUMBER(D57)),D57-B57,"")</f>
        <v/>
      </c>
      <c r="F57" s="4" t="s">
        <v>412</v>
      </c>
      <c r="H57" s="4"/>
      <c r="I57" s="4"/>
      <c r="J57" s="4"/>
      <c r="K57" s="4"/>
      <c r="L57" s="4"/>
      <c r="M57" s="4"/>
    </row>
    <row r="58" spans="1:13" ht="35" customHeight="1">
      <c r="A58" s="13" t="s">
        <v>413</v>
      </c>
      <c r="B58" s="11">
        <f>IFERROR(IF(COUNTIFS('Outputs'!$A$6:$A$205,$B$5,'Outputs'!$K$6:$K$205,"&lt;&gt;")=0,"",INDEX('Outputs'!$K$6:$K$205,MATCH($B$5,'Outputs'!$A$6:$A$205,0))),"")</f>
        <v/>
      </c>
      <c r="C58" s="4"/>
      <c r="D58" s="11">
        <f>IFERROR(IF(COUNTIFS('Outputs'!$A$6:$A$205,$D$5,'Outputs'!$K$6:$K$205,"&lt;&gt;")=0,"",INDEX('Outputs'!$K$6:$K$205,MATCH($D$5,'Outputs'!$A$6:$A$205,0))),"")</f>
        <v/>
      </c>
      <c r="E58" s="11">
        <f>IF(AND(ISNUMBER(B58),ISNUMBER(D58)),D58-B58,"")</f>
        <v/>
      </c>
      <c r="F58" s="4" t="s">
        <v>414</v>
      </c>
      <c r="H58" s="4"/>
      <c r="I58" s="4"/>
      <c r="J58" s="4"/>
      <c r="K58" s="4"/>
      <c r="L58" s="4"/>
      <c r="M58" s="4"/>
    </row>
    <row r="59" spans="1:13" ht="35" customHeight="1">
      <c r="A59" s="13" t="s">
        <v>415</v>
      </c>
      <c r="B59" s="11">
        <f>IFERROR(IF(COUNTIFS('Outputs'!$A$6:$A$205,$B$5,'Outputs'!$S$6:$S$205,"&lt;&gt;")=0,"",INDEX('Outputs'!$S$6:$S$205,MATCH($B$5,'Outputs'!$A$6:$A$205,0))),"")</f>
        <v/>
      </c>
      <c r="C59" s="4"/>
      <c r="D59" s="11">
        <f>IFERROR(IF(COUNTIFS('Outputs'!$A$6:$A$205,$D$5,'Outputs'!$S$6:$S$205,"&lt;&gt;")=0,"",INDEX('Outputs'!$S$6:$S$205,MATCH($D$5,'Outputs'!$A$6:$A$205,0))),"")</f>
        <v/>
      </c>
      <c r="E59" s="11">
        <f>IF(AND(ISNUMBER(B59),ISNUMBER(D59)),D59-B59,"")</f>
        <v/>
      </c>
      <c r="F59" s="4" t="s">
        <v>416</v>
      </c>
    </row>
    <row r="60" spans="1:13" ht="35" customHeight="1">
      <c r="A60" s="13" t="s">
        <v>417</v>
      </c>
      <c r="B60" s="11">
        <f>IFERROR(IF(COUNTIFS('Outputs'!$A$6:$A$205,$B$5,'Outputs'!$M$6:$M$205,"&lt;&gt;")=0,"",INDEX('Outputs'!$M$6:$M$205,MATCH($B$5,'Outputs'!$A$6:$A$205,0))),"")</f>
        <v/>
      </c>
      <c r="C60" s="4"/>
      <c r="D60" s="11">
        <f>IFERROR(IF(COUNTIFS('Outputs'!$A$6:$A$205,$D$5,'Outputs'!$M$6:$M$205,"&lt;&gt;")=0,"",INDEX('Outputs'!$M$6:$M$205,MATCH($D$5,'Outputs'!$A$6:$A$205,0))),"")</f>
        <v/>
      </c>
      <c r="E60" s="11">
        <f>IF(AND(ISNUMBER(B60),ISNUMBER(D60)),D60-B60,"")</f>
        <v/>
      </c>
      <c r="F60" s="4" t="s">
        <v>418</v>
      </c>
    </row>
    <row r="61" spans="1:13" ht="35" customHeight="1">
      <c r="A61" s="13" t="s">
        <v>419</v>
      </c>
      <c r="B61" s="11">
        <f>IFERROR(IF(COUNTIFS('Outputs'!$A$6:$A$205,$B$5,'Outputs'!$L$6:$L$205,"&lt;&gt;")=0,"",INDEX('Outputs'!$L$6:$L$205,MATCH($B$5,'Outputs'!$A$6:$A$205,0))),"")</f>
        <v/>
      </c>
      <c r="C61" s="4" t="s">
        <v>363</v>
      </c>
      <c r="D61" s="11">
        <f>IFERROR(IF(COUNTIFS('Outputs'!$A$6:$A$205,$D$5,'Outputs'!$L$6:$L$205,"&lt;&gt;")=0,"",INDEX('Outputs'!$L$6:$L$205,MATCH($D$5,'Outputs'!$A$6:$A$205,0))),"")</f>
        <v/>
      </c>
      <c r="E61" s="11">
        <f>IF(AND(ISNUMBER(B61),ISNUMBER(D61)),D61-B61,"")</f>
        <v/>
      </c>
      <c r="F61" s="4" t="s">
        <v>420</v>
      </c>
    </row>
    <row r="62" spans="1:13" ht="35" customHeight="1">
      <c r="A62" s="13" t="s">
        <v>294</v>
      </c>
      <c r="B62" s="11">
        <f>IFERROR(IF(COUNTIFS('Outputs'!$A$6:$A$205,$B$5,'Outputs'!$N$6:$N$205,"&lt;&gt;")=0,"",INDEX('Outputs'!$N$6:$N$205,MATCH($B$5,'Outputs'!$A$6:$A$205,0))),"")</f>
        <v/>
      </c>
      <c r="C62" s="4"/>
      <c r="D62" s="11">
        <f>IFERROR(IF(COUNTIFS('Outputs'!$A$6:$A$205,$D$5,'Outputs'!$N$6:$N$205,"&lt;&gt;")=0,"",INDEX('Outputs'!$N$6:$N$205,MATCH($D$5,'Outputs'!$A$6:$A$205,0))),"")</f>
        <v/>
      </c>
      <c r="E62" s="11">
        <f>IF(AND(ISNUMBER(B62),ISNUMBER(D62)),D62-B62,"")</f>
        <v/>
      </c>
      <c r="F62" s="4" t="s">
        <v>421</v>
      </c>
    </row>
    <row r="81" spans="8:10">
      <c r="H81" s="7" t="s">
        <v>422</v>
      </c>
      <c r="I81" s="7" t="s">
        <v>305</v>
      </c>
      <c r="J81" s="7" t="s">
        <v>306</v>
      </c>
    </row>
    <row r="82" spans="8:10">
      <c r="H82" s="4" t="s">
        <v>397</v>
      </c>
      <c r="I82" s="11" t="e">
        <f>IF(ISNUMBER(B51),B51,NA())</f>
        <v>#N/A</v>
      </c>
      <c r="J82" s="11" t="e">
        <f>IF(ISNUMBER(D51),D51,NA())</f>
        <v>#N/A</v>
      </c>
    </row>
    <row r="83" spans="8:10">
      <c r="H83" s="4" t="s">
        <v>400</v>
      </c>
      <c r="I83" s="11" t="e">
        <f>IF(ISNUMBER(B52),B52,NA())</f>
        <v>#N/A</v>
      </c>
      <c r="J83" s="11" t="e">
        <f>IF(ISNUMBER(D52),D52,NA())</f>
        <v>#N/A</v>
      </c>
    </row>
    <row r="86" spans="8:10">
      <c r="H86" s="7" t="s">
        <v>422</v>
      </c>
      <c r="I86" s="7" t="s">
        <v>305</v>
      </c>
      <c r="J86" s="7" t="s">
        <v>306</v>
      </c>
    </row>
    <row r="87" spans="8:10">
      <c r="H87" s="4" t="s">
        <v>402</v>
      </c>
      <c r="I87" s="11" t="e">
        <f>IF(ISNUMBER(B53),B53,NA())</f>
        <v>#N/A</v>
      </c>
      <c r="J87" s="11" t="e">
        <f>IF(ISNUMBER(D53),D53,NA())</f>
        <v>#N/A</v>
      </c>
    </row>
    <row r="88" spans="8:10">
      <c r="H88" s="4" t="s">
        <v>404</v>
      </c>
      <c r="I88" s="11" t="e">
        <f>IF(ISNUMBER(B54),B54,NA())</f>
        <v>#N/A</v>
      </c>
      <c r="J88" s="11" t="e">
        <f>IF(ISNUMBER(D54),D54,NA())</f>
        <v>#N/A</v>
      </c>
    </row>
  </sheetData>
  <mergeCells count="12">
    <mergeCell ref="A1:F1"/>
    <mergeCell ref="A2:F3"/>
    <mergeCell ref="A8:F8"/>
    <mergeCell ref="A15:F15"/>
    <mergeCell ref="A31:F31"/>
    <mergeCell ref="A48:F48"/>
    <mergeCell ref="H45:M46"/>
    <mergeCell ref="H48:J48"/>
    <mergeCell ref="K48:M48"/>
    <mergeCell ref="H50:J50"/>
    <mergeCell ref="K50:M50"/>
    <mergeCell ref="H53:M58"/>
  </mergeCells>
  <conditionalFormatting sqref="B8:B62">
    <cfRule type="containsText" dxfId="0" priority="1" operator="containsText" text="VIOLATED">
      <formula>NOT(ISERROR(SEARCH("VIOLATED",B8)))</formula>
    </cfRule>
    <cfRule type="containsText" dxfId="0" priority="2" operator="containsText" text="FAIL">
      <formula>NOT(ISERROR(SEARCH("FAIL",B8)))</formula>
    </cfRule>
  </conditionalFormatting>
  <conditionalFormatting sqref="D8:D62">
    <cfRule type="containsText" dxfId="0" priority="3" operator="containsText" text="VIOLATED">
      <formula>NOT(ISERROR(SEARCH("VIOLATED",D8)))</formula>
    </cfRule>
    <cfRule type="containsText" dxfId="0" priority="4" operator="containsText" text="FAIL">
      <formula>NOT(ISERROR(SEARCH("FAIL",D8)))</formula>
    </cfRule>
  </conditionalFormatting>
  <dataValidations count="2">
    <dataValidation type="list" allowBlank="1" showInputMessage="1" showErrorMessage="1" sqref="B5">
      <formula1>RunIDs</formula1>
    </dataValidation>
    <dataValidation type="list" allowBlank="1" showInputMessage="1" showErrorMessage="1" sqref="D5">
      <formula1>RunIDs</formula1>
    </dataValidation>
  </dataValidations>
  <pageMargins left="0.7" right="0.7" top="0.75" bottom="0.75" header="0.3" footer="0.3"/>
  <pageSetup paperSize="9"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7F7A"/>
    <pageSetUpPr fitToPage="1"/>
  </sheetPr>
  <dimension ref="B2:M57"/>
  <sheetViews>
    <sheetView showGridLines="0" workbookViewId="0"/>
  </sheetViews>
  <sheetFormatPr defaultRowHeight="15"/>
  <cols>
    <col min="1" max="1" width="3.7109375" customWidth="1"/>
    <col min="2" max="13" width="12.7109375" customWidth="1"/>
  </cols>
  <sheetData>
    <row r="2" spans="2:13">
      <c r="B2" s="1" t="s">
        <v>456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5" spans="2:13">
      <c r="B5" s="2" t="s">
        <v>457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2:1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10" spans="2:13">
      <c r="B10" s="13" t="s">
        <v>458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</row>
    <row r="12" spans="2:13">
      <c r="B12" s="14" t="s">
        <v>459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</row>
    <row r="13" spans="2:13"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2:13"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</row>
    <row r="15" spans="2:13"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2:13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2:13"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2:13"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2:13"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2:13"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2:13"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2:13"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spans="2:13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spans="2:13"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2:13"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2:13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2:13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2:13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30" spans="2:13">
      <c r="B30" s="4" t="s">
        <v>460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2:13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2:13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5" spans="2:13">
      <c r="B35" s="13" t="s">
        <v>458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</row>
    <row r="37" spans="2:13">
      <c r="B37" s="14" t="s">
        <v>459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2:13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2:13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2:13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2:13"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2:13"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2:13"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2:13"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2:13"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2:13"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2:13"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2:13"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2:13"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2:13"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2:13"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2:13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2:13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5" spans="2:13">
      <c r="B55" s="4" t="s">
        <v>460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2:13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2:13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</sheetData>
  <mergeCells count="8">
    <mergeCell ref="B2:M3"/>
    <mergeCell ref="B5:M7"/>
    <mergeCell ref="B10:M10"/>
    <mergeCell ref="B12:M28"/>
    <mergeCell ref="B30:M32"/>
    <mergeCell ref="B35:M35"/>
    <mergeCell ref="B37:M53"/>
    <mergeCell ref="B55:M57"/>
  </mergeCells>
  <pageMargins left="0.7" right="0.7" top="0.75" bottom="0.75" header="0.3" footer="0.3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7F7A"/>
    <pageSetUpPr fitToPage="1"/>
  </sheetPr>
  <dimension ref="A1:C8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5.7109375" customWidth="1"/>
    <col min="2" max="2" width="48.7109375" customWidth="1"/>
    <col min="3" max="3" width="110.7109375" customWidth="1"/>
  </cols>
  <sheetData>
    <row r="1" spans="1:3" ht="37" customHeight="1">
      <c r="A1" s="1" t="s">
        <v>461</v>
      </c>
      <c r="B1" s="1"/>
      <c r="C1" s="1"/>
    </row>
    <row r="2" spans="1:3" ht="24" customHeight="1">
      <c r="A2" s="2" t="s">
        <v>462</v>
      </c>
      <c r="B2" s="2"/>
      <c r="C2" s="2"/>
    </row>
    <row r="3" spans="1:3" ht="20" customHeight="1">
      <c r="A3" s="2"/>
      <c r="B3" s="2"/>
      <c r="C3" s="2"/>
    </row>
    <row r="5" spans="1:3" ht="48" customHeight="1">
      <c r="A5" s="7" t="s">
        <v>463</v>
      </c>
      <c r="B5" s="7" t="s">
        <v>464</v>
      </c>
      <c r="C5" s="7" t="s">
        <v>465</v>
      </c>
    </row>
    <row r="6" spans="1:3" ht="47" customHeight="1">
      <c r="A6" s="4" t="s">
        <v>466</v>
      </c>
      <c r="B6" s="4" t="s">
        <v>2</v>
      </c>
      <c r="C6" s="4" t="s">
        <v>467</v>
      </c>
    </row>
    <row r="7" spans="1:3" ht="47" customHeight="1">
      <c r="A7" s="4" t="s">
        <v>466</v>
      </c>
      <c r="B7" s="4" t="s">
        <v>3</v>
      </c>
      <c r="C7" s="4" t="s">
        <v>468</v>
      </c>
    </row>
    <row r="8" spans="1:3" ht="47" customHeight="1">
      <c r="A8" s="4" t="s">
        <v>466</v>
      </c>
      <c r="B8" s="4" t="s">
        <v>4</v>
      </c>
      <c r="C8" s="4" t="s">
        <v>468</v>
      </c>
    </row>
    <row r="9" spans="1:3" ht="47" customHeight="1">
      <c r="A9" s="4" t="s">
        <v>466</v>
      </c>
      <c r="B9" s="4" t="s">
        <v>5</v>
      </c>
      <c r="C9" s="4" t="s">
        <v>468</v>
      </c>
    </row>
    <row r="10" spans="1:3" ht="47" customHeight="1">
      <c r="A10" s="4" t="s">
        <v>466</v>
      </c>
      <c r="B10" s="4" t="s">
        <v>6</v>
      </c>
      <c r="C10" s="4" t="s">
        <v>468</v>
      </c>
    </row>
    <row r="11" spans="1:3" ht="47" customHeight="1">
      <c r="A11" s="4" t="s">
        <v>466</v>
      </c>
      <c r="B11" s="4" t="s">
        <v>7</v>
      </c>
      <c r="C11" s="4" t="s">
        <v>468</v>
      </c>
    </row>
    <row r="12" spans="1:3" ht="47" customHeight="1">
      <c r="A12" s="4" t="s">
        <v>466</v>
      </c>
      <c r="B12" s="4" t="s">
        <v>8</v>
      </c>
      <c r="C12" s="4" t="s">
        <v>468</v>
      </c>
    </row>
    <row r="13" spans="1:3" ht="47" customHeight="1">
      <c r="A13" s="4" t="s">
        <v>466</v>
      </c>
      <c r="B13" s="4" t="s">
        <v>9</v>
      </c>
      <c r="C13" s="4" t="s">
        <v>468</v>
      </c>
    </row>
    <row r="14" spans="1:3" ht="47" customHeight="1">
      <c r="A14" s="4" t="s">
        <v>466</v>
      </c>
      <c r="B14" s="4" t="s">
        <v>10</v>
      </c>
      <c r="C14" s="4" t="s">
        <v>469</v>
      </c>
    </row>
    <row r="15" spans="1:3" ht="47" customHeight="1">
      <c r="A15" s="4" t="s">
        <v>466</v>
      </c>
      <c r="B15" s="4" t="s">
        <v>11</v>
      </c>
      <c r="C15" s="4" t="s">
        <v>468</v>
      </c>
    </row>
    <row r="16" spans="1:3" ht="47" customHeight="1">
      <c r="A16" s="4" t="s">
        <v>466</v>
      </c>
      <c r="B16" s="4" t="s">
        <v>12</v>
      </c>
      <c r="C16" s="4" t="s">
        <v>468</v>
      </c>
    </row>
    <row r="17" spans="1:3" ht="47" customHeight="1">
      <c r="A17" s="4" t="s">
        <v>466</v>
      </c>
      <c r="B17" s="4" t="s">
        <v>13</v>
      </c>
      <c r="C17" s="4" t="s">
        <v>468</v>
      </c>
    </row>
    <row r="18" spans="1:3" ht="47" customHeight="1">
      <c r="A18" s="4" t="s">
        <v>466</v>
      </c>
      <c r="B18" s="4" t="s">
        <v>14</v>
      </c>
      <c r="C18" s="4" t="s">
        <v>470</v>
      </c>
    </row>
    <row r="19" spans="1:3" ht="47" customHeight="1">
      <c r="A19" s="4" t="s">
        <v>466</v>
      </c>
      <c r="B19" s="4" t="s">
        <v>15</v>
      </c>
      <c r="C19" s="4" t="s">
        <v>468</v>
      </c>
    </row>
    <row r="20" spans="1:3" ht="47" customHeight="1">
      <c r="A20" s="4" t="s">
        <v>466</v>
      </c>
      <c r="B20" s="4" t="s">
        <v>16</v>
      </c>
      <c r="C20" s="4" t="s">
        <v>468</v>
      </c>
    </row>
    <row r="21" spans="1:3" ht="47" customHeight="1">
      <c r="A21" s="4" t="s">
        <v>466</v>
      </c>
      <c r="B21" s="4" t="s">
        <v>17</v>
      </c>
      <c r="C21" s="4" t="s">
        <v>468</v>
      </c>
    </row>
    <row r="22" spans="1:3" ht="47" customHeight="1">
      <c r="A22" s="4" t="s">
        <v>466</v>
      </c>
      <c r="B22" s="4" t="s">
        <v>18</v>
      </c>
      <c r="C22" s="4" t="s">
        <v>468</v>
      </c>
    </row>
    <row r="23" spans="1:3" ht="47" customHeight="1">
      <c r="A23" s="4" t="s">
        <v>471</v>
      </c>
      <c r="B23" s="4" t="s">
        <v>2</v>
      </c>
      <c r="C23" s="4" t="s">
        <v>467</v>
      </c>
    </row>
    <row r="24" spans="1:3" ht="47" customHeight="1">
      <c r="A24" s="4" t="s">
        <v>471</v>
      </c>
      <c r="B24" s="4" t="s">
        <v>225</v>
      </c>
      <c r="C24" s="4" t="s">
        <v>472</v>
      </c>
    </row>
    <row r="25" spans="1:3" ht="47" customHeight="1">
      <c r="A25" s="4" t="s">
        <v>471</v>
      </c>
      <c r="B25" s="4" t="s">
        <v>226</v>
      </c>
      <c r="C25" s="4" t="s">
        <v>473</v>
      </c>
    </row>
    <row r="26" spans="1:3" ht="47" customHeight="1">
      <c r="A26" s="4" t="s">
        <v>471</v>
      </c>
      <c r="B26" s="4" t="s">
        <v>227</v>
      </c>
      <c r="C26" s="4" t="s">
        <v>474</v>
      </c>
    </row>
    <row r="27" spans="1:3" ht="47" customHeight="1">
      <c r="A27" s="4" t="s">
        <v>471</v>
      </c>
      <c r="B27" s="4" t="s">
        <v>228</v>
      </c>
      <c r="C27" s="4" t="s">
        <v>474</v>
      </c>
    </row>
    <row r="28" spans="1:3" ht="47" customHeight="1">
      <c r="A28" s="4" t="s">
        <v>471</v>
      </c>
      <c r="B28" s="4" t="s">
        <v>229</v>
      </c>
      <c r="C28" s="4" t="s">
        <v>475</v>
      </c>
    </row>
    <row r="29" spans="1:3" ht="47" customHeight="1">
      <c r="A29" s="4" t="s">
        <v>471</v>
      </c>
      <c r="B29" s="4" t="s">
        <v>230</v>
      </c>
      <c r="C29" s="4" t="s">
        <v>476</v>
      </c>
    </row>
    <row r="30" spans="1:3" ht="47" customHeight="1">
      <c r="A30" s="4" t="s">
        <v>471</v>
      </c>
      <c r="B30" s="4" t="s">
        <v>231</v>
      </c>
      <c r="C30" s="4" t="s">
        <v>477</v>
      </c>
    </row>
    <row r="31" spans="1:3" ht="47" customHeight="1">
      <c r="A31" s="4" t="s">
        <v>471</v>
      </c>
      <c r="B31" s="4" t="s">
        <v>232</v>
      </c>
      <c r="C31" s="4" t="s">
        <v>478</v>
      </c>
    </row>
    <row r="32" spans="1:3" ht="47" customHeight="1">
      <c r="A32" s="4" t="s">
        <v>471</v>
      </c>
      <c r="B32" s="4" t="s">
        <v>233</v>
      </c>
      <c r="C32" s="4" t="s">
        <v>479</v>
      </c>
    </row>
    <row r="33" spans="1:3" ht="47" customHeight="1">
      <c r="A33" s="4" t="s">
        <v>471</v>
      </c>
      <c r="B33" s="4" t="s">
        <v>234</v>
      </c>
      <c r="C33" s="4" t="s">
        <v>480</v>
      </c>
    </row>
    <row r="34" spans="1:3" ht="47" customHeight="1">
      <c r="A34" s="4" t="s">
        <v>471</v>
      </c>
      <c r="B34" s="4" t="s">
        <v>235</v>
      </c>
      <c r="C34" s="4" t="s">
        <v>481</v>
      </c>
    </row>
    <row r="35" spans="1:3" ht="47" customHeight="1">
      <c r="A35" s="4" t="s">
        <v>471</v>
      </c>
      <c r="B35" s="4" t="s">
        <v>236</v>
      </c>
      <c r="C35" s="4" t="s">
        <v>482</v>
      </c>
    </row>
    <row r="36" spans="1:3" ht="47" customHeight="1">
      <c r="A36" s="4" t="s">
        <v>471</v>
      </c>
      <c r="B36" s="4" t="s">
        <v>237</v>
      </c>
      <c r="C36" s="4" t="s">
        <v>483</v>
      </c>
    </row>
    <row r="37" spans="1:3" ht="47" customHeight="1">
      <c r="A37" s="4" t="s">
        <v>471</v>
      </c>
      <c r="B37" s="4" t="s">
        <v>238</v>
      </c>
      <c r="C37" s="4" t="s">
        <v>474</v>
      </c>
    </row>
    <row r="38" spans="1:3" ht="47" customHeight="1">
      <c r="A38" s="4" t="s">
        <v>471</v>
      </c>
      <c r="B38" s="4" t="s">
        <v>239</v>
      </c>
      <c r="C38" s="4" t="s">
        <v>474</v>
      </c>
    </row>
    <row r="39" spans="1:3" ht="47" customHeight="1">
      <c r="A39" s="4" t="s">
        <v>471</v>
      </c>
      <c r="B39" s="4" t="s">
        <v>240</v>
      </c>
      <c r="C39" s="4" t="s">
        <v>474</v>
      </c>
    </row>
    <row r="40" spans="1:3" ht="47" customHeight="1">
      <c r="A40" s="4" t="s">
        <v>471</v>
      </c>
      <c r="B40" s="4" t="s">
        <v>241</v>
      </c>
      <c r="C40" s="4" t="s">
        <v>474</v>
      </c>
    </row>
    <row r="41" spans="1:3" ht="47" customHeight="1">
      <c r="A41" s="4" t="s">
        <v>471</v>
      </c>
      <c r="B41" s="4" t="s">
        <v>242</v>
      </c>
      <c r="C41" s="4" t="s">
        <v>474</v>
      </c>
    </row>
    <row r="42" spans="1:3" ht="47" customHeight="1">
      <c r="A42" s="4" t="s">
        <v>484</v>
      </c>
      <c r="B42" s="4" t="s">
        <v>2</v>
      </c>
      <c r="C42" s="4" t="s">
        <v>467</v>
      </c>
    </row>
    <row r="43" spans="1:3" ht="47" customHeight="1">
      <c r="A43" s="4" t="s">
        <v>484</v>
      </c>
      <c r="B43" s="4" t="s">
        <v>246</v>
      </c>
      <c r="C43" s="4" t="s">
        <v>485</v>
      </c>
    </row>
    <row r="44" spans="1:3" ht="47" customHeight="1">
      <c r="A44" s="4" t="s">
        <v>484</v>
      </c>
      <c r="B44" s="4" t="s">
        <v>247</v>
      </c>
      <c r="C44" s="4" t="s">
        <v>485</v>
      </c>
    </row>
    <row r="45" spans="1:3" ht="47" customHeight="1">
      <c r="A45" s="4" t="s">
        <v>484</v>
      </c>
      <c r="B45" s="4" t="s">
        <v>248</v>
      </c>
      <c r="C45" s="4" t="s">
        <v>485</v>
      </c>
    </row>
    <row r="46" spans="1:3" ht="47" customHeight="1">
      <c r="A46" s="4" t="s">
        <v>484</v>
      </c>
      <c r="B46" s="4" t="s">
        <v>249</v>
      </c>
      <c r="C46" s="4" t="s">
        <v>485</v>
      </c>
    </row>
    <row r="47" spans="1:3" ht="47" customHeight="1">
      <c r="A47" s="4" t="s">
        <v>484</v>
      </c>
      <c r="B47" s="4" t="s">
        <v>250</v>
      </c>
      <c r="C47" s="4" t="s">
        <v>486</v>
      </c>
    </row>
    <row r="48" spans="1:3" ht="47" customHeight="1">
      <c r="A48" s="4" t="s">
        <v>484</v>
      </c>
      <c r="B48" s="4" t="s">
        <v>251</v>
      </c>
      <c r="C48" s="4" t="s">
        <v>485</v>
      </c>
    </row>
    <row r="49" spans="1:3" ht="47" customHeight="1">
      <c r="A49" s="4" t="s">
        <v>484</v>
      </c>
      <c r="B49" s="4" t="s">
        <v>252</v>
      </c>
      <c r="C49" s="4" t="s">
        <v>487</v>
      </c>
    </row>
    <row r="50" spans="1:3" ht="47" customHeight="1">
      <c r="A50" s="4" t="s">
        <v>484</v>
      </c>
      <c r="B50" s="4" t="s">
        <v>253</v>
      </c>
      <c r="C50" s="4" t="s">
        <v>485</v>
      </c>
    </row>
    <row r="51" spans="1:3" ht="47" customHeight="1">
      <c r="A51" s="4" t="s">
        <v>484</v>
      </c>
      <c r="B51" s="4" t="s">
        <v>254</v>
      </c>
      <c r="C51" s="4" t="s">
        <v>485</v>
      </c>
    </row>
    <row r="52" spans="1:3" ht="47" customHeight="1">
      <c r="A52" s="4" t="s">
        <v>484</v>
      </c>
      <c r="B52" s="4" t="s">
        <v>255</v>
      </c>
      <c r="C52" s="4" t="s">
        <v>485</v>
      </c>
    </row>
    <row r="53" spans="1:3" ht="47" customHeight="1">
      <c r="A53" s="4" t="s">
        <v>484</v>
      </c>
      <c r="B53" s="4" t="s">
        <v>256</v>
      </c>
      <c r="C53" s="4" t="s">
        <v>488</v>
      </c>
    </row>
    <row r="54" spans="1:3" ht="47" customHeight="1">
      <c r="A54" s="4" t="s">
        <v>484</v>
      </c>
      <c r="B54" s="4" t="s">
        <v>257</v>
      </c>
      <c r="C54" s="4" t="s">
        <v>485</v>
      </c>
    </row>
    <row r="55" spans="1:3" ht="47" customHeight="1">
      <c r="A55" s="4" t="s">
        <v>484</v>
      </c>
      <c r="B55" s="4" t="s">
        <v>258</v>
      </c>
      <c r="C55" s="4" t="s">
        <v>485</v>
      </c>
    </row>
    <row r="56" spans="1:3" ht="47" customHeight="1">
      <c r="A56" s="4" t="s">
        <v>484</v>
      </c>
      <c r="B56" s="4" t="s">
        <v>259</v>
      </c>
      <c r="C56" s="4" t="s">
        <v>485</v>
      </c>
    </row>
    <row r="57" spans="1:3" ht="47" customHeight="1">
      <c r="A57" s="4" t="s">
        <v>484</v>
      </c>
      <c r="B57" s="4" t="s">
        <v>260</v>
      </c>
      <c r="C57" s="4" t="s">
        <v>485</v>
      </c>
    </row>
    <row r="58" spans="1:3" ht="47" customHeight="1">
      <c r="A58" s="4" t="s">
        <v>484</v>
      </c>
      <c r="B58" s="4" t="s">
        <v>261</v>
      </c>
      <c r="C58" s="4" t="s">
        <v>485</v>
      </c>
    </row>
    <row r="59" spans="1:3" ht="47" customHeight="1">
      <c r="A59" s="4" t="s">
        <v>484</v>
      </c>
      <c r="B59" s="4" t="s">
        <v>262</v>
      </c>
      <c r="C59" s="4" t="s">
        <v>489</v>
      </c>
    </row>
    <row r="60" spans="1:3" ht="47" customHeight="1">
      <c r="A60" s="4" t="s">
        <v>484</v>
      </c>
      <c r="B60" s="4" t="s">
        <v>263</v>
      </c>
      <c r="C60" s="4" t="s">
        <v>485</v>
      </c>
    </row>
    <row r="61" spans="1:3" ht="47" customHeight="1">
      <c r="A61" s="4" t="s">
        <v>484</v>
      </c>
      <c r="B61" s="4" t="s">
        <v>264</v>
      </c>
      <c r="C61" s="4" t="s">
        <v>485</v>
      </c>
    </row>
    <row r="62" spans="1:3" ht="47" customHeight="1">
      <c r="A62" s="4" t="s">
        <v>484</v>
      </c>
      <c r="B62" s="4" t="s">
        <v>265</v>
      </c>
      <c r="C62" s="4" t="s">
        <v>485</v>
      </c>
    </row>
    <row r="63" spans="1:3" ht="47" customHeight="1">
      <c r="A63" s="4" t="s">
        <v>484</v>
      </c>
      <c r="B63" s="4" t="s">
        <v>266</v>
      </c>
      <c r="C63" s="4" t="s">
        <v>485</v>
      </c>
    </row>
    <row r="64" spans="1:3" ht="47" customHeight="1">
      <c r="A64" s="4" t="s">
        <v>490</v>
      </c>
      <c r="B64" s="4" t="s">
        <v>2</v>
      </c>
      <c r="C64" s="4" t="s">
        <v>467</v>
      </c>
    </row>
    <row r="65" spans="1:3" ht="47" customHeight="1">
      <c r="A65" s="4" t="s">
        <v>490</v>
      </c>
      <c r="B65" s="4" t="s">
        <v>274</v>
      </c>
      <c r="C65" s="4" t="s">
        <v>491</v>
      </c>
    </row>
    <row r="66" spans="1:3" ht="47" customHeight="1">
      <c r="A66" s="4" t="s">
        <v>490</v>
      </c>
      <c r="B66" s="4" t="s">
        <v>275</v>
      </c>
      <c r="C66" s="4" t="s">
        <v>491</v>
      </c>
    </row>
    <row r="67" spans="1:3" ht="47" customHeight="1">
      <c r="A67" s="4" t="s">
        <v>490</v>
      </c>
      <c r="B67" s="4" t="s">
        <v>276</v>
      </c>
      <c r="C67" s="4" t="s">
        <v>491</v>
      </c>
    </row>
    <row r="68" spans="1:3" ht="47" customHeight="1">
      <c r="A68" s="4" t="s">
        <v>490</v>
      </c>
      <c r="B68" s="4" t="s">
        <v>277</v>
      </c>
      <c r="C68" s="4" t="s">
        <v>492</v>
      </c>
    </row>
    <row r="69" spans="1:3" ht="47" customHeight="1">
      <c r="A69" s="4" t="s">
        <v>490</v>
      </c>
      <c r="B69" s="4" t="s">
        <v>278</v>
      </c>
      <c r="C69" s="4" t="s">
        <v>491</v>
      </c>
    </row>
    <row r="70" spans="1:3" ht="47" customHeight="1">
      <c r="A70" s="4" t="s">
        <v>490</v>
      </c>
      <c r="B70" s="4" t="s">
        <v>279</v>
      </c>
      <c r="C70" s="4" t="s">
        <v>491</v>
      </c>
    </row>
    <row r="71" spans="1:3" ht="47" customHeight="1">
      <c r="A71" s="4" t="s">
        <v>493</v>
      </c>
      <c r="B71" s="4" t="s">
        <v>2</v>
      </c>
      <c r="C71" s="4" t="s">
        <v>467</v>
      </c>
    </row>
    <row r="72" spans="1:3" ht="47" customHeight="1">
      <c r="A72" s="4" t="s">
        <v>493</v>
      </c>
      <c r="B72" s="4" t="s">
        <v>282</v>
      </c>
      <c r="C72" s="4" t="s">
        <v>494</v>
      </c>
    </row>
    <row r="73" spans="1:3" ht="47" customHeight="1">
      <c r="A73" s="4" t="s">
        <v>493</v>
      </c>
      <c r="B73" s="4" t="s">
        <v>283</v>
      </c>
      <c r="C73" s="4" t="s">
        <v>494</v>
      </c>
    </row>
    <row r="74" spans="1:3" ht="47" customHeight="1">
      <c r="A74" s="4" t="s">
        <v>493</v>
      </c>
      <c r="B74" s="4" t="s">
        <v>284</v>
      </c>
      <c r="C74" s="4" t="s">
        <v>494</v>
      </c>
    </row>
    <row r="75" spans="1:3" ht="47" customHeight="1">
      <c r="A75" s="4" t="s">
        <v>493</v>
      </c>
      <c r="B75" s="4" t="s">
        <v>285</v>
      </c>
      <c r="C75" s="4" t="s">
        <v>494</v>
      </c>
    </row>
    <row r="76" spans="1:3" ht="47" customHeight="1">
      <c r="A76" s="4" t="s">
        <v>493</v>
      </c>
      <c r="B76" s="4" t="s">
        <v>286</v>
      </c>
      <c r="C76" s="4" t="s">
        <v>494</v>
      </c>
    </row>
    <row r="77" spans="1:3" ht="47" customHeight="1">
      <c r="A77" s="4" t="s">
        <v>493</v>
      </c>
      <c r="B77" s="4" t="s">
        <v>287</v>
      </c>
      <c r="C77" s="4" t="s">
        <v>494</v>
      </c>
    </row>
    <row r="78" spans="1:3" ht="47" customHeight="1">
      <c r="A78" s="4" t="s">
        <v>493</v>
      </c>
      <c r="B78" s="4" t="s">
        <v>288</v>
      </c>
      <c r="C78" s="4" t="s">
        <v>494</v>
      </c>
    </row>
    <row r="79" spans="1:3" ht="47" customHeight="1">
      <c r="A79" s="4" t="s">
        <v>493</v>
      </c>
      <c r="B79" s="4" t="s">
        <v>289</v>
      </c>
      <c r="C79" s="4" t="s">
        <v>495</v>
      </c>
    </row>
    <row r="80" spans="1:3" ht="47" customHeight="1">
      <c r="A80" s="4" t="s">
        <v>493</v>
      </c>
      <c r="B80" s="4" t="s">
        <v>290</v>
      </c>
      <c r="C80" s="4" t="s">
        <v>485</v>
      </c>
    </row>
    <row r="81" spans="1:3" ht="47" customHeight="1">
      <c r="A81" s="4" t="s">
        <v>493</v>
      </c>
      <c r="B81" s="4" t="s">
        <v>291</v>
      </c>
      <c r="C81" s="4" t="s">
        <v>496</v>
      </c>
    </row>
    <row r="82" spans="1:3" ht="47" customHeight="1">
      <c r="A82" s="4" t="s">
        <v>493</v>
      </c>
      <c r="B82" s="4" t="s">
        <v>292</v>
      </c>
      <c r="C82" s="4" t="s">
        <v>497</v>
      </c>
    </row>
    <row r="83" spans="1:3" ht="47" customHeight="1">
      <c r="A83" s="4" t="s">
        <v>493</v>
      </c>
      <c r="B83" s="4" t="s">
        <v>293</v>
      </c>
      <c r="C83" s="4" t="s">
        <v>498</v>
      </c>
    </row>
    <row r="84" spans="1:3" ht="47" customHeight="1">
      <c r="A84" s="4" t="s">
        <v>493</v>
      </c>
      <c r="B84" s="4" t="s">
        <v>294</v>
      </c>
      <c r="C84" s="4" t="s">
        <v>485</v>
      </c>
    </row>
    <row r="85" spans="1:3" ht="47" customHeight="1">
      <c r="A85" s="4" t="s">
        <v>493</v>
      </c>
      <c r="B85" s="4" t="s">
        <v>295</v>
      </c>
      <c r="C85" s="4" t="s">
        <v>485</v>
      </c>
    </row>
    <row r="86" spans="1:3" ht="47" customHeight="1">
      <c r="A86" s="4" t="s">
        <v>493</v>
      </c>
      <c r="B86" s="4" t="s">
        <v>296</v>
      </c>
      <c r="C86" s="4" t="s">
        <v>485</v>
      </c>
    </row>
    <row r="87" spans="1:3" ht="47" customHeight="1">
      <c r="A87" s="4" t="s">
        <v>493</v>
      </c>
      <c r="B87" s="4" t="s">
        <v>297</v>
      </c>
      <c r="C87" s="4" t="s">
        <v>485</v>
      </c>
    </row>
    <row r="88" spans="1:3" ht="47" customHeight="1">
      <c r="A88" s="4" t="s">
        <v>493</v>
      </c>
      <c r="B88" s="4" t="s">
        <v>298</v>
      </c>
      <c r="C88" s="4" t="s">
        <v>485</v>
      </c>
    </row>
    <row r="89" spans="1:3" ht="47" customHeight="1">
      <c r="A89" s="4" t="s">
        <v>493</v>
      </c>
      <c r="B89" s="4" t="s">
        <v>299</v>
      </c>
      <c r="C89" s="4" t="s">
        <v>485</v>
      </c>
    </row>
  </sheetData>
  <autoFilter ref="A5:C89"/>
  <mergeCells count="2">
    <mergeCell ref="A1:C1"/>
    <mergeCell ref="A2:C3"/>
  </mergeCells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Start Here</vt:lpstr>
      <vt:lpstr>Run Index</vt:lpstr>
      <vt:lpstr>Vehicle Inputs</vt:lpstr>
      <vt:lpstr>Road and Solver</vt:lpstr>
      <vt:lpstr>Bumps</vt:lpstr>
      <vt:lpstr>Outputs</vt:lpstr>
      <vt:lpstr>Compare</vt:lpstr>
      <vt:lpstr>Graph Gallery</vt:lpstr>
      <vt:lpstr>Field Guide</vt:lpstr>
      <vt:lpstr>'Start Here'!Print_Area</vt:lpstr>
      <vt:lpstr>Bumps!Print_Titles</vt:lpstr>
      <vt:lpstr>'Field Guide'!Print_Titles</vt:lpstr>
      <vt:lpstr>Outputs!Print_Titles</vt:lpstr>
      <vt:lpstr>'Road and Solver'!Print_Titles</vt:lpstr>
      <vt:lpstr>'Run Index'!Print_Titles</vt:lpstr>
      <vt:lpstr>'Vehicle Inputs'!Print_Titles</vt:lpstr>
      <vt:lpstr>RunIDs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Half-car iteration tracker</dc:title>
  <dc:subject>Inputs, outputs, validity and graph records</dc:subject>
  <dc:creator>Half-car model team</dc:creator>
  <dc:description>Offline workbook. Template inputs only; no simulated outputs prefilled.</dc:description>
  <cp:lastModifiedBy>Half-car model team</cp:lastModifiedBy>
  <dcterms:created xsi:type="dcterms:W3CDTF">2026-10-23T04:36:26Z</dcterms:created>
  <dcterms:modified xsi:type="dcterms:W3CDTF">2026-10-23T04:36:26Z</dcterms:modified>
</cp:coreProperties>
</file>